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Pictures\SFG\"/>
    </mc:Choice>
  </mc:AlternateContent>
  <xr:revisionPtr revIDLastSave="0" documentId="13_ncr:1_{9F437573-B17E-4D0F-BF56-1F8F25D2FFAA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Wanted + hydres" sheetId="10" state="hidden" r:id="rId3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96" i="11" l="1"/>
  <c r="O496" i="11"/>
  <c r="O91" i="11"/>
  <c r="AD131" i="11"/>
  <c r="AD138" i="11"/>
  <c r="AD139" i="11"/>
  <c r="AD140" i="11"/>
  <c r="AD141" i="11"/>
  <c r="AD147" i="11"/>
  <c r="AD148" i="11"/>
  <c r="AD149" i="11"/>
  <c r="AD150" i="11"/>
  <c r="AD151" i="11"/>
  <c r="AD157" i="11"/>
  <c r="AD158" i="11"/>
  <c r="AD159" i="11"/>
  <c r="AD160" i="11"/>
  <c r="AD161" i="11"/>
  <c r="AD165" i="11"/>
  <c r="AD166" i="11"/>
  <c r="AD167" i="11"/>
  <c r="AD168" i="11"/>
  <c r="AD169" i="11"/>
  <c r="AD170" i="11"/>
  <c r="AD171" i="11"/>
  <c r="AD173" i="11"/>
  <c r="AD174" i="11"/>
  <c r="AD175" i="11"/>
  <c r="AD176" i="11"/>
  <c r="AD177" i="11"/>
  <c r="AD178" i="11"/>
  <c r="AD179" i="11"/>
  <c r="AD180" i="11"/>
  <c r="AD181" i="11"/>
  <c r="AD185" i="11"/>
  <c r="AD186" i="11"/>
  <c r="AD187" i="11"/>
  <c r="AD188" i="11"/>
  <c r="AD189" i="11"/>
  <c r="AD190" i="11"/>
  <c r="AD191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94" i="11"/>
  <c r="AD495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D707" i="11"/>
  <c r="P496" i="11" a="1"/>
  <c r="Q496" i="11" a="1"/>
  <c r="P91" i="11" a="1"/>
  <c r="Q91" i="11" a="1"/>
  <c r="Q2" i="11" a="1"/>
  <c r="Q3" i="11" a="1"/>
  <c r="Q496" i="11" l="1"/>
  <c r="S496" i="11" s="1"/>
  <c r="U496" i="11" s="1"/>
  <c r="P496" i="11"/>
  <c r="R496" i="11" s="1"/>
  <c r="T496" i="11" s="1"/>
  <c r="W496" i="11" s="1"/>
  <c r="Q91" i="11"/>
  <c r="S91" i="11" s="1"/>
  <c r="U91" i="11" s="1"/>
  <c r="P91" i="11"/>
  <c r="R91" i="11" s="1"/>
  <c r="T91" i="11" s="1"/>
  <c r="Q2" i="11"/>
  <c r="Q3" i="11"/>
  <c r="Q4" i="11" a="1"/>
  <c r="AB496" i="11" l="1"/>
  <c r="Y496" i="11"/>
  <c r="AA496" i="11" s="1"/>
  <c r="X496" i="11"/>
  <c r="W91" i="11"/>
  <c r="Q4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Q5" i="11" a="1"/>
  <c r="Q11" i="11" a="1"/>
  <c r="Q17" i="11" a="1"/>
  <c r="Q23" i="11" a="1"/>
  <c r="Q29" i="11" a="1"/>
  <c r="Q35" i="11" a="1"/>
  <c r="Q41" i="11" a="1"/>
  <c r="Q47" i="11" a="1"/>
  <c r="Q53" i="11" a="1"/>
  <c r="Q59" i="11" a="1"/>
  <c r="Q65" i="11" a="1"/>
  <c r="Q71" i="11" a="1"/>
  <c r="Q77" i="11" a="1"/>
  <c r="Q83" i="11" a="1"/>
  <c r="Q89" i="11" a="1"/>
  <c r="Q96" i="11" a="1"/>
  <c r="Q102" i="11" a="1"/>
  <c r="Q108" i="11" a="1"/>
  <c r="Q114" i="11" a="1"/>
  <c r="Q120" i="11" a="1"/>
  <c r="Q126" i="11" a="1"/>
  <c r="Q132" i="11" a="1"/>
  <c r="Q138" i="11" a="1"/>
  <c r="Q144" i="11" a="1"/>
  <c r="Q150" i="11" a="1"/>
  <c r="Q156" i="11" a="1"/>
  <c r="Q162" i="11" a="1"/>
  <c r="Q168" i="11" a="1"/>
  <c r="Q174" i="11" a="1"/>
  <c r="Q180" i="11" a="1"/>
  <c r="Q186" i="11" a="1"/>
  <c r="Q192" i="11" a="1"/>
  <c r="Q198" i="11" a="1"/>
  <c r="Q204" i="11" a="1"/>
  <c r="Q210" i="11" a="1"/>
  <c r="Q216" i="11" a="1"/>
  <c r="Q222" i="11" a="1"/>
  <c r="Q228" i="11" a="1"/>
  <c r="Q234" i="11" a="1"/>
  <c r="Q240" i="11" a="1"/>
  <c r="Q246" i="11" a="1"/>
  <c r="Q252" i="11" a="1"/>
  <c r="Q258" i="11" a="1"/>
  <c r="Q264" i="11" a="1"/>
  <c r="Q6" i="11" a="1"/>
  <c r="Q12" i="11" a="1"/>
  <c r="Q18" i="11" a="1"/>
  <c r="Q24" i="11" a="1"/>
  <c r="Q30" i="11" a="1"/>
  <c r="Q36" i="11" a="1"/>
  <c r="Q42" i="11" a="1"/>
  <c r="Q48" i="11" a="1"/>
  <c r="Q54" i="11" a="1"/>
  <c r="Q60" i="11" a="1"/>
  <c r="Q66" i="11" a="1"/>
  <c r="Q72" i="11" a="1"/>
  <c r="Q78" i="11" a="1"/>
  <c r="Q84" i="11" a="1"/>
  <c r="Q90" i="11" a="1"/>
  <c r="Q97" i="11" a="1"/>
  <c r="Q103" i="11" a="1"/>
  <c r="Q109" i="11" a="1"/>
  <c r="Q115" i="11" a="1"/>
  <c r="Q121" i="11" a="1"/>
  <c r="Q127" i="11" a="1"/>
  <c r="Q133" i="11" a="1"/>
  <c r="Q139" i="11" a="1"/>
  <c r="Q145" i="11" a="1"/>
  <c r="Q151" i="11" a="1"/>
  <c r="Q157" i="11" a="1"/>
  <c r="Q163" i="11" a="1"/>
  <c r="Q169" i="11" a="1"/>
  <c r="Q175" i="11" a="1"/>
  <c r="Q181" i="11" a="1"/>
  <c r="Q187" i="11" a="1"/>
  <c r="Q193" i="11" a="1"/>
  <c r="Q199" i="11" a="1"/>
  <c r="Q205" i="11" a="1"/>
  <c r="Q211" i="11" a="1"/>
  <c r="Q217" i="11" a="1"/>
  <c r="Q223" i="11" a="1"/>
  <c r="Q229" i="11" a="1"/>
  <c r="Q235" i="11" a="1"/>
  <c r="Q241" i="11" a="1"/>
  <c r="Q247" i="11" a="1"/>
  <c r="Q253" i="11" a="1"/>
  <c r="Q259" i="11" a="1"/>
  <c r="Q265" i="11" a="1"/>
  <c r="Q271" i="11" a="1"/>
  <c r="Q277" i="11" a="1"/>
  <c r="Q383" i="11" a="1"/>
  <c r="Q389" i="11" a="1"/>
  <c r="Q395" i="11" a="1"/>
  <c r="Q401" i="11" a="1"/>
  <c r="Q407" i="11" a="1"/>
  <c r="Q413" i="11" a="1"/>
  <c r="Q419" i="11" a="1"/>
  <c r="Q425" i="11" a="1"/>
  <c r="Q431" i="11" a="1"/>
  <c r="Q437" i="11" a="1"/>
  <c r="Q443" i="11" a="1"/>
  <c r="Q449" i="11" a="1"/>
  <c r="Q455" i="11" a="1"/>
  <c r="Q461" i="11" a="1"/>
  <c r="Q467" i="11" a="1"/>
  <c r="Q473" i="11" a="1"/>
  <c r="Q479" i="11" a="1"/>
  <c r="Q485" i="11" a="1"/>
  <c r="Q491" i="11" a="1"/>
  <c r="Q498" i="11" a="1"/>
  <c r="Q504" i="11" a="1"/>
  <c r="Q510" i="11" a="1"/>
  <c r="Q516" i="11" a="1"/>
  <c r="Q522" i="11" a="1"/>
  <c r="Q528" i="11" a="1"/>
  <c r="Q534" i="11" a="1"/>
  <c r="Q540" i="11" a="1"/>
  <c r="Q546" i="11" a="1"/>
  <c r="Q552" i="11" a="1"/>
  <c r="Q558" i="11" a="1"/>
  <c r="Q564" i="11" a="1"/>
  <c r="Q570" i="11" a="1"/>
  <c r="Q576" i="11" a="1"/>
  <c r="Q582" i="11" a="1"/>
  <c r="Q588" i="11" a="1"/>
  <c r="Q594" i="11" a="1"/>
  <c r="Q600" i="11" a="1"/>
  <c r="Q606" i="11" a="1"/>
  <c r="Q612" i="11" a="1"/>
  <c r="Q7" i="11" a="1"/>
  <c r="Q13" i="11" a="1"/>
  <c r="Q19" i="11" a="1"/>
  <c r="Q25" i="11" a="1"/>
  <c r="Q31" i="11" a="1"/>
  <c r="Q37" i="11" a="1"/>
  <c r="Q43" i="11" a="1"/>
  <c r="Q49" i="11" a="1"/>
  <c r="Q55" i="11" a="1"/>
  <c r="Q61" i="11" a="1"/>
  <c r="Q67" i="11" a="1"/>
  <c r="Q73" i="11" a="1"/>
  <c r="Q79" i="11" a="1"/>
  <c r="Q85" i="11" a="1"/>
  <c r="Q92" i="11" a="1"/>
  <c r="Q98" i="11" a="1"/>
  <c r="Q104" i="11" a="1"/>
  <c r="Q110" i="11" a="1"/>
  <c r="Q116" i="11" a="1"/>
  <c r="Q122" i="11" a="1"/>
  <c r="Q128" i="11" a="1"/>
  <c r="Q134" i="11" a="1"/>
  <c r="Q140" i="11" a="1"/>
  <c r="Q146" i="11" a="1"/>
  <c r="Q152" i="11" a="1"/>
  <c r="Q158" i="11" a="1"/>
  <c r="Q164" i="11" a="1"/>
  <c r="Q170" i="11" a="1"/>
  <c r="Q176" i="11" a="1"/>
  <c r="Q182" i="11" a="1"/>
  <c r="Q188" i="11" a="1"/>
  <c r="Q194" i="11" a="1"/>
  <c r="Q200" i="11" a="1"/>
  <c r="Q206" i="11" a="1"/>
  <c r="Q212" i="11" a="1"/>
  <c r="Q218" i="11" a="1"/>
  <c r="Q224" i="11" a="1"/>
  <c r="Q230" i="11" a="1"/>
  <c r="Q236" i="11" a="1"/>
  <c r="Q242" i="11" a="1"/>
  <c r="Q248" i="11" a="1"/>
  <c r="Q254" i="11" a="1"/>
  <c r="Q260" i="11" a="1"/>
  <c r="Q266" i="11" a="1"/>
  <c r="Q272" i="11" a="1"/>
  <c r="Q278" i="11" a="1"/>
  <c r="Q384" i="11" a="1"/>
  <c r="Q390" i="11" a="1"/>
  <c r="Q396" i="11" a="1"/>
  <c r="Q402" i="11" a="1"/>
  <c r="Q408" i="11" a="1"/>
  <c r="Q414" i="11" a="1"/>
  <c r="Q420" i="11" a="1"/>
  <c r="Q426" i="11" a="1"/>
  <c r="Q432" i="11" a="1"/>
  <c r="Q438" i="11" a="1"/>
  <c r="Q444" i="11" a="1"/>
  <c r="Q450" i="11" a="1"/>
  <c r="Q456" i="11" a="1"/>
  <c r="Q462" i="11" a="1"/>
  <c r="Q468" i="11" a="1"/>
  <c r="Q474" i="11" a="1"/>
  <c r="Q480" i="11" a="1"/>
  <c r="Q486" i="11" a="1"/>
  <c r="Q492" i="11" a="1"/>
  <c r="Q499" i="11" a="1"/>
  <c r="Q505" i="11" a="1"/>
  <c r="Q511" i="11" a="1"/>
  <c r="Q517" i="11" a="1"/>
  <c r="Q523" i="11" a="1"/>
  <c r="Q529" i="11" a="1"/>
  <c r="Q535" i="11" a="1"/>
  <c r="Q541" i="11" a="1"/>
  <c r="Q547" i="11" a="1"/>
  <c r="Q553" i="11" a="1"/>
  <c r="Q559" i="11" a="1"/>
  <c r="Q565" i="11" a="1"/>
  <c r="Q571" i="11" a="1"/>
  <c r="Q577" i="11" a="1"/>
  <c r="Q583" i="11" a="1"/>
  <c r="Q589" i="11" a="1"/>
  <c r="Q595" i="11" a="1"/>
  <c r="Q601" i="11" a="1"/>
  <c r="Q607" i="11" a="1"/>
  <c r="Q613" i="11" a="1"/>
  <c r="Q8" i="11" a="1"/>
  <c r="Q14" i="11" a="1"/>
  <c r="Q20" i="11" a="1"/>
  <c r="Q26" i="11" a="1"/>
  <c r="Q32" i="11" a="1"/>
  <c r="Q38" i="11" a="1"/>
  <c r="Q44" i="11" a="1"/>
  <c r="Q50" i="11" a="1"/>
  <c r="Q56" i="11" a="1"/>
  <c r="Q62" i="11" a="1"/>
  <c r="Q68" i="11" a="1"/>
  <c r="Q74" i="11" a="1"/>
  <c r="Q80" i="11" a="1"/>
  <c r="Q86" i="11" a="1"/>
  <c r="Q93" i="11" a="1"/>
  <c r="Q99" i="11" a="1"/>
  <c r="Q105" i="11" a="1"/>
  <c r="Q111" i="11" a="1"/>
  <c r="Q117" i="11" a="1"/>
  <c r="Q123" i="11" a="1"/>
  <c r="Q129" i="11" a="1"/>
  <c r="Q135" i="11" a="1"/>
  <c r="Q141" i="11" a="1"/>
  <c r="Q147" i="11" a="1"/>
  <c r="Q153" i="11" a="1"/>
  <c r="Q159" i="11" a="1"/>
  <c r="Q165" i="11" a="1"/>
  <c r="Q171" i="11" a="1"/>
  <c r="Q177" i="11" a="1"/>
  <c r="Q183" i="11" a="1"/>
  <c r="Q189" i="11" a="1"/>
  <c r="Q195" i="11" a="1"/>
  <c r="Q201" i="11" a="1"/>
  <c r="Q207" i="11" a="1"/>
  <c r="Q213" i="11" a="1"/>
  <c r="Q219" i="11" a="1"/>
  <c r="Q225" i="11" a="1"/>
  <c r="Q231" i="11" a="1"/>
  <c r="Q237" i="11" a="1"/>
  <c r="Q243" i="11" a="1"/>
  <c r="Q249" i="11" a="1"/>
  <c r="Q255" i="11" a="1"/>
  <c r="Q261" i="11" a="1"/>
  <c r="Q9" i="11" a="1"/>
  <c r="Q15" i="11" a="1"/>
  <c r="Q21" i="11" a="1"/>
  <c r="Q27" i="11" a="1"/>
  <c r="Q33" i="11" a="1"/>
  <c r="Q39" i="11" a="1"/>
  <c r="Q45" i="11" a="1"/>
  <c r="Q51" i="11" a="1"/>
  <c r="Q57" i="11" a="1"/>
  <c r="Q63" i="11" a="1"/>
  <c r="Q69" i="11" a="1"/>
  <c r="Q75" i="11" a="1"/>
  <c r="Q81" i="11" a="1"/>
  <c r="Q87" i="11" a="1"/>
  <c r="Q94" i="11" a="1"/>
  <c r="Q100" i="11" a="1"/>
  <c r="Q106" i="11" a="1"/>
  <c r="Q112" i="11" a="1"/>
  <c r="Q118" i="11" a="1"/>
  <c r="Q124" i="11" a="1"/>
  <c r="Q130" i="11" a="1"/>
  <c r="Q136" i="11" a="1"/>
  <c r="Q142" i="11" a="1"/>
  <c r="Q148" i="11" a="1"/>
  <c r="Q154" i="11" a="1"/>
  <c r="Q160" i="11" a="1"/>
  <c r="Q166" i="11" a="1"/>
  <c r="Q172" i="11" a="1"/>
  <c r="Q178" i="11" a="1"/>
  <c r="Q184" i="11" a="1"/>
  <c r="Q190" i="11" a="1"/>
  <c r="Q196" i="11" a="1"/>
  <c r="Q202" i="11" a="1"/>
  <c r="Q208" i="11" a="1"/>
  <c r="Q214" i="11" a="1"/>
  <c r="Q220" i="11" a="1"/>
  <c r="Q226" i="11" a="1"/>
  <c r="Q232" i="11" a="1"/>
  <c r="Q238" i="11" a="1"/>
  <c r="Q244" i="11" a="1"/>
  <c r="Q250" i="11" a="1"/>
  <c r="Q256" i="11" a="1"/>
  <c r="Q262" i="11" a="1"/>
  <c r="Q268" i="11" a="1"/>
  <c r="Q274" i="11" a="1"/>
  <c r="Q280" i="11" a="1"/>
  <c r="Q386" i="11" a="1"/>
  <c r="Q392" i="11" a="1"/>
  <c r="Q398" i="11" a="1"/>
  <c r="Q404" i="11" a="1"/>
  <c r="Q410" i="11" a="1"/>
  <c r="Q416" i="11" a="1"/>
  <c r="Q422" i="11" a="1"/>
  <c r="Q428" i="11" a="1"/>
  <c r="Q434" i="11" a="1"/>
  <c r="Q440" i="11" a="1"/>
  <c r="Q446" i="11" a="1"/>
  <c r="Q452" i="11" a="1"/>
  <c r="Q458" i="11" a="1"/>
  <c r="Q464" i="11" a="1"/>
  <c r="Q470" i="11" a="1"/>
  <c r="Q476" i="11" a="1"/>
  <c r="Q482" i="11" a="1"/>
  <c r="Q488" i="11" a="1"/>
  <c r="Q494" i="11" a="1"/>
  <c r="Q501" i="11" a="1"/>
  <c r="Q507" i="11" a="1"/>
  <c r="Q513" i="11" a="1"/>
  <c r="Q519" i="11" a="1"/>
  <c r="Q525" i="11" a="1"/>
  <c r="Q531" i="11" a="1"/>
  <c r="Q537" i="11" a="1"/>
  <c r="Q543" i="11" a="1"/>
  <c r="Q549" i="11" a="1"/>
  <c r="Q555" i="11" a="1"/>
  <c r="Q561" i="11" a="1"/>
  <c r="Q567" i="11" a="1"/>
  <c r="Q573" i="11" a="1"/>
  <c r="Q579" i="11" a="1"/>
  <c r="Q585" i="11" a="1"/>
  <c r="Q591" i="11" a="1"/>
  <c r="Q597" i="11" a="1"/>
  <c r="Q603" i="11" a="1"/>
  <c r="Q609" i="11" a="1"/>
  <c r="Q615" i="11" a="1"/>
  <c r="Q10" i="11" a="1"/>
  <c r="Q16" i="11" a="1"/>
  <c r="Q22" i="11" a="1"/>
  <c r="Q28" i="11" a="1"/>
  <c r="Q34" i="11" a="1"/>
  <c r="Q40" i="11" a="1"/>
  <c r="Q46" i="11" a="1"/>
  <c r="Q52" i="11" a="1"/>
  <c r="Q58" i="11" a="1"/>
  <c r="Q64" i="11" a="1"/>
  <c r="Q70" i="11" a="1"/>
  <c r="Q76" i="11" a="1"/>
  <c r="Q82" i="11" a="1"/>
  <c r="Q88" i="11" a="1"/>
  <c r="Q95" i="11" a="1"/>
  <c r="Q101" i="11" a="1"/>
  <c r="Q107" i="11" a="1"/>
  <c r="Q113" i="11" a="1"/>
  <c r="Q119" i="11" a="1"/>
  <c r="Q125" i="11" a="1"/>
  <c r="Q131" i="11" a="1"/>
  <c r="Q137" i="11" a="1"/>
  <c r="Q143" i="11" a="1"/>
  <c r="Q149" i="11" a="1"/>
  <c r="Q155" i="11" a="1"/>
  <c r="Q161" i="11" a="1"/>
  <c r="Q167" i="11" a="1"/>
  <c r="Q173" i="11" a="1"/>
  <c r="Q179" i="11" a="1"/>
  <c r="Q185" i="11" a="1"/>
  <c r="Q191" i="11" a="1"/>
  <c r="Q197" i="11" a="1"/>
  <c r="Q203" i="11" a="1"/>
  <c r="Q209" i="11" a="1"/>
  <c r="Q215" i="11" a="1"/>
  <c r="Q221" i="11" a="1"/>
  <c r="Q227" i="11" a="1"/>
  <c r="Q233" i="11" a="1"/>
  <c r="Q239" i="11" a="1"/>
  <c r="Q245" i="11" a="1"/>
  <c r="Q251" i="11" a="1"/>
  <c r="Q257" i="11" a="1"/>
  <c r="Q263" i="11" a="1"/>
  <c r="Q269" i="11" a="1"/>
  <c r="Q275" i="11" a="1"/>
  <c r="Q281" i="11" a="1"/>
  <c r="Q387" i="11" a="1"/>
  <c r="Q393" i="11" a="1"/>
  <c r="Q399" i="11" a="1"/>
  <c r="Q405" i="11" a="1"/>
  <c r="Q411" i="11" a="1"/>
  <c r="Q417" i="11" a="1"/>
  <c r="Q423" i="11" a="1"/>
  <c r="Q429" i="11" a="1"/>
  <c r="Q435" i="11" a="1"/>
  <c r="Q441" i="11" a="1"/>
  <c r="Q447" i="11" a="1"/>
  <c r="Q453" i="11" a="1"/>
  <c r="Q459" i="11" a="1"/>
  <c r="Q465" i="11" a="1"/>
  <c r="Q471" i="11" a="1"/>
  <c r="Q477" i="11" a="1"/>
  <c r="Q483" i="11" a="1"/>
  <c r="Q489" i="11" a="1"/>
  <c r="Q495" i="11" a="1"/>
  <c r="Q502" i="11" a="1"/>
  <c r="Q508" i="11" a="1"/>
  <c r="Q514" i="11" a="1"/>
  <c r="Q520" i="11" a="1"/>
  <c r="Q526" i="11" a="1"/>
  <c r="Q532" i="11" a="1"/>
  <c r="Q538" i="11" a="1"/>
  <c r="Q544" i="11" a="1"/>
  <c r="Q550" i="11" a="1"/>
  <c r="Q556" i="11" a="1"/>
  <c r="Q562" i="11" a="1"/>
  <c r="Q568" i="11" a="1"/>
  <c r="Q574" i="11" a="1"/>
  <c r="Q580" i="11" a="1"/>
  <c r="Q586" i="11" a="1"/>
  <c r="Q592" i="11" a="1"/>
  <c r="Q598" i="11" a="1"/>
  <c r="Q604" i="11" a="1"/>
  <c r="Q610" i="11" a="1"/>
  <c r="Q616" i="11" a="1"/>
  <c r="Q400" i="11" a="1"/>
  <c r="Q436" i="11" a="1"/>
  <c r="Q472" i="11" a="1"/>
  <c r="Q509" i="11" a="1"/>
  <c r="Q545" i="11" a="1"/>
  <c r="Q581" i="11" a="1"/>
  <c r="Q617" i="11" a="1"/>
  <c r="Q623" i="11" a="1"/>
  <c r="Q629" i="11" a="1"/>
  <c r="Q635" i="11" a="1"/>
  <c r="Q641" i="11" a="1"/>
  <c r="Q647" i="11" a="1"/>
  <c r="Q653" i="11" a="1"/>
  <c r="Q659" i="11" a="1"/>
  <c r="Q665" i="11" a="1"/>
  <c r="Q671" i="11" a="1"/>
  <c r="Q677" i="11" a="1"/>
  <c r="Q683" i="11" a="1"/>
  <c r="Q689" i="11" a="1"/>
  <c r="Q695" i="11" a="1"/>
  <c r="Q701" i="11" a="1"/>
  <c r="Q707" i="11" a="1"/>
  <c r="P21" i="11" a="1"/>
  <c r="P94" i="11" a="1"/>
  <c r="P166" i="11" a="1"/>
  <c r="P238" i="11" a="1"/>
  <c r="P410" i="11" a="1"/>
  <c r="P482" i="11" a="1"/>
  <c r="P70" i="11" a="1"/>
  <c r="P143" i="11" a="1"/>
  <c r="P215" i="11" a="1"/>
  <c r="P387" i="11" a="1"/>
  <c r="P459" i="11" a="1"/>
  <c r="P53" i="11" a="1"/>
  <c r="P126" i="11" a="1"/>
  <c r="P198" i="11" a="1"/>
  <c r="P270" i="11" a="1"/>
  <c r="P12" i="11" a="1"/>
  <c r="P84" i="11" a="1"/>
  <c r="P157" i="11" a="1"/>
  <c r="P229" i="11" a="1"/>
  <c r="P19" i="11" a="1"/>
  <c r="P92" i="11" a="1"/>
  <c r="P164" i="11" a="1"/>
  <c r="P236" i="11" a="1"/>
  <c r="P408" i="11" a="1"/>
  <c r="P80" i="11" a="1"/>
  <c r="P518" i="11" a="1"/>
  <c r="P636" i="11" a="1"/>
  <c r="P505" i="11" a="1"/>
  <c r="P549" i="11" a="1"/>
  <c r="P159" i="11" a="1"/>
  <c r="P530" i="11" a="1"/>
  <c r="P643" i="11" a="1"/>
  <c r="P536" i="11" a="1"/>
  <c r="P500" i="11" a="1"/>
  <c r="P147" i="11" a="1"/>
  <c r="P425" i="11" a="1"/>
  <c r="P593" i="11" a="1"/>
  <c r="P674" i="11" a="1"/>
  <c r="P512" i="11" a="1"/>
  <c r="P557" i="11" a="1"/>
  <c r="P279" i="11" a="1"/>
  <c r="P595" i="11" a="1"/>
  <c r="P675" i="11" a="1"/>
  <c r="P492" i="11" a="1"/>
  <c r="P255" i="11" a="1"/>
  <c r="P468" i="11" a="1"/>
  <c r="P694" i="11" a="1"/>
  <c r="P590" i="11" a="1"/>
  <c r="Q267" i="11" a="1"/>
  <c r="Q403" i="11" a="1"/>
  <c r="Q439" i="11" a="1"/>
  <c r="Q475" i="11" a="1"/>
  <c r="Q512" i="11" a="1"/>
  <c r="Q548" i="11" a="1"/>
  <c r="Q584" i="11" a="1"/>
  <c r="P27" i="11" a="1"/>
  <c r="P100" i="11" a="1"/>
  <c r="P172" i="11" a="1"/>
  <c r="P244" i="11" a="1"/>
  <c r="P416" i="11" a="1"/>
  <c r="P4" i="11" a="1"/>
  <c r="P76" i="11" a="1"/>
  <c r="P149" i="11" a="1"/>
  <c r="P221" i="11" a="1"/>
  <c r="P393" i="11" a="1"/>
  <c r="P465" i="11" a="1"/>
  <c r="P59" i="11" a="1"/>
  <c r="P132" i="11" a="1"/>
  <c r="P204" i="11" a="1"/>
  <c r="P276" i="11" a="1"/>
  <c r="P18" i="11" a="1"/>
  <c r="P90" i="11" a="1"/>
  <c r="P163" i="11" a="1"/>
  <c r="P235" i="11" a="1"/>
  <c r="P25" i="11" a="1"/>
  <c r="P98" i="11" a="1"/>
  <c r="P170" i="11" a="1"/>
  <c r="P242" i="11" a="1"/>
  <c r="P414" i="11" a="1"/>
  <c r="P117" i="11" a="1"/>
  <c r="P528" i="11" a="1"/>
  <c r="P642" i="11" a="1"/>
  <c r="P111" i="11" a="1"/>
  <c r="P560" i="11" a="1"/>
  <c r="P195" i="11" a="1"/>
  <c r="P540" i="11" a="1"/>
  <c r="P649" i="11" a="1"/>
  <c r="P587" i="11" a="1"/>
  <c r="P510" i="11" a="1"/>
  <c r="P567" i="11" a="1"/>
  <c r="P445" i="11" a="1"/>
  <c r="P603" i="11" a="1"/>
  <c r="P680" i="11" a="1"/>
  <c r="P522" i="11" a="1"/>
  <c r="P617" i="11" a="1"/>
  <c r="P448" i="11" a="1"/>
  <c r="P605" i="11" a="1"/>
  <c r="P681" i="11" a="1"/>
  <c r="P503" i="11" a="1"/>
  <c r="P32" i="11" a="1"/>
  <c r="P493" i="11" a="1"/>
  <c r="P628" i="11" a="1"/>
  <c r="P700" i="11" a="1"/>
  <c r="P415" i="11" a="1"/>
  <c r="P589" i="11" a="1"/>
  <c r="P141" i="11" a="1"/>
  <c r="P646" i="11" a="1"/>
  <c r="P107" i="11" a="1"/>
  <c r="P193" i="11" a="1"/>
  <c r="P602" i="11" a="1"/>
  <c r="P413" i="11" a="1"/>
  <c r="Q270" i="11" a="1"/>
  <c r="Q406" i="11" a="1"/>
  <c r="Q442" i="11" a="1"/>
  <c r="Q478" i="11" a="1"/>
  <c r="Q515" i="11" a="1"/>
  <c r="Q551" i="11" a="1"/>
  <c r="Q587" i="11" a="1"/>
  <c r="Q618" i="11" a="1"/>
  <c r="Q624" i="11" a="1"/>
  <c r="Q630" i="11" a="1"/>
  <c r="Q636" i="11" a="1"/>
  <c r="Q642" i="11" a="1"/>
  <c r="Q648" i="11" a="1"/>
  <c r="Q654" i="11" a="1"/>
  <c r="Q660" i="11" a="1"/>
  <c r="Q666" i="11" a="1"/>
  <c r="Q672" i="11" a="1"/>
  <c r="Q678" i="11" a="1"/>
  <c r="Q684" i="11" a="1"/>
  <c r="Q690" i="11" a="1"/>
  <c r="Q696" i="11" a="1"/>
  <c r="Q702" i="11" a="1"/>
  <c r="P33" i="11" a="1"/>
  <c r="P106" i="11" a="1"/>
  <c r="P178" i="11" a="1"/>
  <c r="P250" i="11" a="1"/>
  <c r="P422" i="11" a="1"/>
  <c r="P10" i="11" a="1"/>
  <c r="P82" i="11" a="1"/>
  <c r="P155" i="11" a="1"/>
  <c r="P227" i="11" a="1"/>
  <c r="P399" i="11" a="1"/>
  <c r="P471" i="11" a="1"/>
  <c r="P65" i="11" a="1"/>
  <c r="P138" i="11" a="1"/>
  <c r="P210" i="11" a="1"/>
  <c r="P382" i="11" a="1"/>
  <c r="P24" i="11" a="1"/>
  <c r="P97" i="11" a="1"/>
  <c r="P169" i="11" a="1"/>
  <c r="P241" i="11" a="1"/>
  <c r="P31" i="11" a="1"/>
  <c r="P104" i="11" a="1"/>
  <c r="P176" i="11" a="1"/>
  <c r="P248" i="11" a="1"/>
  <c r="P420" i="11" a="1"/>
  <c r="P153" i="11" a="1"/>
  <c r="P538" i="11" a="1"/>
  <c r="P648" i="11" a="1"/>
  <c r="P578" i="11" a="1"/>
  <c r="P570" i="11" a="1"/>
  <c r="P231" i="11" a="1"/>
  <c r="P550" i="11" a="1"/>
  <c r="P655" i="11" a="1"/>
  <c r="P38" i="11" a="1"/>
  <c r="P520" i="11" a="1"/>
  <c r="P659" i="11" a="1"/>
  <c r="P463" i="11" a="1"/>
  <c r="P614" i="11" a="1"/>
  <c r="P686" i="11" a="1"/>
  <c r="P532" i="11" a="1"/>
  <c r="P641" i="11" a="1"/>
  <c r="P466" i="11" a="1"/>
  <c r="P615" i="11" a="1"/>
  <c r="P687" i="11" a="1"/>
  <c r="P513" i="11" a="1"/>
  <c r="P68" i="11" a="1"/>
  <c r="P504" i="11" a="1"/>
  <c r="P634" i="11" a="1"/>
  <c r="P706" i="11" a="1"/>
  <c r="P437" i="11" a="1"/>
  <c r="P599" i="11" a="1"/>
  <c r="P699" i="11" a="1"/>
  <c r="P34" i="11" a="1"/>
  <c r="P444" i="11" a="1"/>
  <c r="P584" i="11" a="1"/>
  <c r="Q273" i="11" a="1"/>
  <c r="Q409" i="11" a="1"/>
  <c r="Q445" i="11" a="1"/>
  <c r="Q481" i="11" a="1"/>
  <c r="Q518" i="11" a="1"/>
  <c r="Q554" i="11" a="1"/>
  <c r="Q590" i="11" a="1"/>
  <c r="P39" i="11" a="1"/>
  <c r="P112" i="11" a="1"/>
  <c r="P184" i="11" a="1"/>
  <c r="P256" i="11" a="1"/>
  <c r="P428" i="11" a="1"/>
  <c r="P16" i="11" a="1"/>
  <c r="P88" i="11" a="1"/>
  <c r="P161" i="11" a="1"/>
  <c r="P233" i="11" a="1"/>
  <c r="P405" i="11" a="1"/>
  <c r="P477" i="11" a="1"/>
  <c r="P71" i="11" a="1"/>
  <c r="P144" i="11" a="1"/>
  <c r="P216" i="11" a="1"/>
  <c r="P388" i="11" a="1"/>
  <c r="P30" i="11" a="1"/>
  <c r="P103" i="11" a="1"/>
  <c r="P175" i="11" a="1"/>
  <c r="P247" i="11" a="1"/>
  <c r="P37" i="11" a="1"/>
  <c r="P110" i="11" a="1"/>
  <c r="P182" i="11" a="1"/>
  <c r="P254" i="11" a="1"/>
  <c r="P426" i="11" a="1"/>
  <c r="P189" i="11" a="1"/>
  <c r="P559" i="11" a="1"/>
  <c r="P654" i="11" a="1"/>
  <c r="P665" i="11" a="1"/>
  <c r="P580" i="11" a="1"/>
  <c r="P267" i="11" a="1"/>
  <c r="P571" i="11" a="1"/>
  <c r="P661" i="11" a="1"/>
  <c r="P494" i="11" a="1"/>
  <c r="P541" i="11" a="1"/>
  <c r="P20" i="11" a="1"/>
  <c r="P478" i="11" a="1"/>
  <c r="P620" i="11" a="1"/>
  <c r="P692" i="11" a="1"/>
  <c r="P553" i="11" a="1"/>
  <c r="P683" i="11" a="1"/>
  <c r="P480" i="11" a="1"/>
  <c r="P621" i="11" a="1"/>
  <c r="P693" i="11" a="1"/>
  <c r="P524" i="11" a="1"/>
  <c r="P105" i="11" a="1"/>
  <c r="P514" i="11" a="1"/>
  <c r="P640" i="11" a="1"/>
  <c r="P577" i="11" a="1"/>
  <c r="P455" i="11" a="1"/>
  <c r="P609" i="11" a="1"/>
  <c r="P534" i="11" a="1"/>
  <c r="P472" i="11" a="1"/>
  <c r="P162" i="11" a="1"/>
  <c r="P442" i="11" a="1"/>
  <c r="P555" i="11" a="1"/>
  <c r="Q276" i="11" a="1"/>
  <c r="Q412" i="11" a="1"/>
  <c r="Q448" i="11" a="1"/>
  <c r="Q484" i="11" a="1"/>
  <c r="Q521" i="11" a="1"/>
  <c r="Q557" i="11" a="1"/>
  <c r="Q593" i="11" a="1"/>
  <c r="Q619" i="11" a="1"/>
  <c r="Q625" i="11" a="1"/>
  <c r="Q631" i="11" a="1"/>
  <c r="Q637" i="11" a="1"/>
  <c r="Q643" i="11" a="1"/>
  <c r="Q649" i="11" a="1"/>
  <c r="Q655" i="11" a="1"/>
  <c r="Q661" i="11" a="1"/>
  <c r="Q667" i="11" a="1"/>
  <c r="Q673" i="11" a="1"/>
  <c r="Q679" i="11" a="1"/>
  <c r="Q685" i="11" a="1"/>
  <c r="Q691" i="11" a="1"/>
  <c r="Q697" i="11" a="1"/>
  <c r="Q703" i="11" a="1"/>
  <c r="P45" i="11" a="1"/>
  <c r="P118" i="11" a="1"/>
  <c r="P190" i="11" a="1"/>
  <c r="P262" i="11" a="1"/>
  <c r="P434" i="11" a="1"/>
  <c r="P22" i="11" a="1"/>
  <c r="P95" i="11" a="1"/>
  <c r="P167" i="11" a="1"/>
  <c r="P239" i="11" a="1"/>
  <c r="P411" i="11" a="1"/>
  <c r="P5" i="11" a="1"/>
  <c r="P77" i="11" a="1"/>
  <c r="P150" i="11" a="1"/>
  <c r="P222" i="11" a="1"/>
  <c r="P394" i="11" a="1"/>
  <c r="P36" i="11" a="1"/>
  <c r="P109" i="11" a="1"/>
  <c r="P181" i="11" a="1"/>
  <c r="P253" i="11" a="1"/>
  <c r="P43" i="11" a="1"/>
  <c r="P116" i="11" a="1"/>
  <c r="P188" i="11" a="1"/>
  <c r="P260" i="11" a="1"/>
  <c r="P432" i="11" a="1"/>
  <c r="P225" i="11" a="1"/>
  <c r="P569" i="11" a="1"/>
  <c r="P660" i="11" a="1"/>
  <c r="P395" i="11" a="1"/>
  <c r="P601" i="11" a="1"/>
  <c r="P397" i="11" a="1"/>
  <c r="P581" i="11" a="1"/>
  <c r="P667" i="11" a="1"/>
  <c r="P526" i="11" a="1"/>
  <c r="P551" i="11" a="1"/>
  <c r="P56" i="11" a="1"/>
  <c r="P489" i="11" a="1"/>
  <c r="P626" i="11" a="1"/>
  <c r="P698" i="11" a="1"/>
  <c r="P563" i="11" a="1"/>
  <c r="P707" i="11" a="1"/>
  <c r="P491" i="11" a="1"/>
  <c r="P627" i="11" a="1"/>
  <c r="P535" i="11" a="1"/>
  <c r="P74" i="11" a="1"/>
  <c r="P202" i="11" a="1"/>
  <c r="P423" i="11" a="1"/>
  <c r="P121" i="11" a="1"/>
  <c r="P272" i="11" a="1"/>
  <c r="P635" i="11" a="1"/>
  <c r="P62" i="11" a="1"/>
  <c r="P516" i="11" a="1"/>
  <c r="Q279" i="11" a="1"/>
  <c r="Q415" i="11" a="1"/>
  <c r="Q451" i="11" a="1"/>
  <c r="Q487" i="11" a="1"/>
  <c r="Q524" i="11" a="1"/>
  <c r="Q560" i="11" a="1"/>
  <c r="Q596" i="11" a="1"/>
  <c r="P51" i="11" a="1"/>
  <c r="P124" i="11" a="1"/>
  <c r="P196" i="11" a="1"/>
  <c r="P268" i="11" a="1"/>
  <c r="P440" i="11" a="1"/>
  <c r="P28" i="11" a="1"/>
  <c r="P101" i="11" a="1"/>
  <c r="P173" i="11" a="1"/>
  <c r="P245" i="11" a="1"/>
  <c r="P417" i="11" a="1"/>
  <c r="P11" i="11" a="1"/>
  <c r="P83" i="11" a="1"/>
  <c r="P156" i="11" a="1"/>
  <c r="P228" i="11" a="1"/>
  <c r="P400" i="11" a="1"/>
  <c r="P42" i="11" a="1"/>
  <c r="P115" i="11" a="1"/>
  <c r="P187" i="11" a="1"/>
  <c r="P259" i="11" a="1"/>
  <c r="P49" i="11" a="1"/>
  <c r="P122" i="11" a="1"/>
  <c r="P194" i="11" a="1"/>
  <c r="P266" i="11" a="1"/>
  <c r="P438" i="11" a="1"/>
  <c r="P261" i="11" a="1"/>
  <c r="P579" i="11" a="1"/>
  <c r="P666" i="11" a="1"/>
  <c r="P419" i="11" a="1"/>
  <c r="P611" i="11" a="1"/>
  <c r="P421" i="11" a="1"/>
  <c r="P591" i="11" a="1"/>
  <c r="P673" i="11" a="1"/>
  <c r="P598" i="11" a="1"/>
  <c r="P561" i="11" a="1"/>
  <c r="P93" i="11" a="1"/>
  <c r="P511" i="11" a="1"/>
  <c r="P632" i="11" a="1"/>
  <c r="P704" i="11" a="1"/>
  <c r="P573" i="11" a="1"/>
  <c r="P26" i="11" a="1"/>
  <c r="P502" i="11" a="1"/>
  <c r="P633" i="11" a="1"/>
  <c r="P705" i="11" a="1"/>
  <c r="P544" i="11" a="1"/>
  <c r="P177" i="11" a="1"/>
  <c r="P545" i="11" a="1"/>
  <c r="P652" i="11" a="1"/>
  <c r="P454" i="11" a="1"/>
  <c r="P485" i="11" a="1"/>
  <c r="P556" i="11" a="1"/>
  <c r="P446" i="11" a="1"/>
  <c r="P89" i="11" a="1"/>
  <c r="P48" i="11" a="1"/>
  <c r="P200" i="11" a="1"/>
  <c r="P515" i="11" a="1"/>
  <c r="P521" i="11" a="1"/>
  <c r="P523" i="11" a="1"/>
  <c r="P495" i="11" a="1"/>
  <c r="Q382" i="11" a="1"/>
  <c r="Q418" i="11" a="1"/>
  <c r="Q454" i="11" a="1"/>
  <c r="Q490" i="11" a="1"/>
  <c r="Q527" i="11" a="1"/>
  <c r="Q563" i="11" a="1"/>
  <c r="Q599" i="11" a="1"/>
  <c r="Q620" i="11" a="1"/>
  <c r="Q626" i="11" a="1"/>
  <c r="Q632" i="11" a="1"/>
  <c r="Q638" i="11" a="1"/>
  <c r="Q644" i="11" a="1"/>
  <c r="Q650" i="11" a="1"/>
  <c r="Q656" i="11" a="1"/>
  <c r="Q662" i="11" a="1"/>
  <c r="Q668" i="11" a="1"/>
  <c r="Q674" i="11" a="1"/>
  <c r="Q680" i="11" a="1"/>
  <c r="Q686" i="11" a="1"/>
  <c r="Q692" i="11" a="1"/>
  <c r="Q698" i="11" a="1"/>
  <c r="Q704" i="11" a="1"/>
  <c r="Q385" i="11" a="1"/>
  <c r="Q421" i="11" a="1"/>
  <c r="Q457" i="11" a="1"/>
  <c r="Q493" i="11" a="1"/>
  <c r="Q530" i="11" a="1"/>
  <c r="Q566" i="11" a="1"/>
  <c r="Q602" i="11" a="1"/>
  <c r="P63" i="11" a="1"/>
  <c r="P136" i="11" a="1"/>
  <c r="P208" i="11" a="1"/>
  <c r="P280" i="11" a="1"/>
  <c r="P452" i="11" a="1"/>
  <c r="P40" i="11" a="1"/>
  <c r="P113" i="11" a="1"/>
  <c r="P185" i="11" a="1"/>
  <c r="P257" i="11" a="1"/>
  <c r="P429" i="11" a="1"/>
  <c r="P23" i="11" a="1"/>
  <c r="P96" i="11" a="1"/>
  <c r="P168" i="11" a="1"/>
  <c r="P240" i="11" a="1"/>
  <c r="P412" i="11" a="1"/>
  <c r="P54" i="11" a="1"/>
  <c r="P127" i="11" a="1"/>
  <c r="P199" i="11" a="1"/>
  <c r="P271" i="11" a="1"/>
  <c r="P61" i="11" a="1"/>
  <c r="P134" i="11" a="1"/>
  <c r="P206" i="11" a="1"/>
  <c r="P278" i="11" a="1"/>
  <c r="P450" i="11" a="1"/>
  <c r="P457" i="11" a="1"/>
  <c r="P600" i="11" a="1"/>
  <c r="P678" i="11" a="1"/>
  <c r="P487" i="11" a="1"/>
  <c r="P389" i="11" a="1"/>
  <c r="P460" i="11" a="1"/>
  <c r="P612" i="11" a="1"/>
  <c r="P685" i="11" a="1"/>
  <c r="P671" i="11" a="1"/>
  <c r="P582" i="11" a="1"/>
  <c r="P165" i="11" a="1"/>
  <c r="P531" i="11" a="1"/>
  <c r="P644" i="11" a="1"/>
  <c r="P403" i="11" a="1"/>
  <c r="P594" i="11" a="1"/>
  <c r="P99" i="11" a="1"/>
  <c r="P533" i="11" a="1"/>
  <c r="P645" i="11" a="1"/>
  <c r="P407" i="11" a="1"/>
  <c r="P575" i="11" a="1"/>
  <c r="P249" i="11" a="1"/>
  <c r="P566" i="11" a="1"/>
  <c r="P664" i="11" a="1"/>
  <c r="P547" i="11" a="1"/>
  <c r="P517" i="11" a="1"/>
  <c r="P484" i="11" a="1"/>
  <c r="P391" i="11" a="1"/>
  <c r="P57" i="11" a="1"/>
  <c r="P128" i="11" a="1"/>
  <c r="P572" i="11" a="1"/>
  <c r="P658" i="11" a="1"/>
  <c r="Q388" i="11" a="1"/>
  <c r="Q424" i="11" a="1"/>
  <c r="Q460" i="11" a="1"/>
  <c r="Q497" i="11" a="1"/>
  <c r="Q533" i="11" a="1"/>
  <c r="Q569" i="11" a="1"/>
  <c r="Q605" i="11" a="1"/>
  <c r="Q621" i="11" a="1"/>
  <c r="Q627" i="11" a="1"/>
  <c r="Q633" i="11" a="1"/>
  <c r="Q639" i="11" a="1"/>
  <c r="Q645" i="11" a="1"/>
  <c r="Q651" i="11" a="1"/>
  <c r="Q657" i="11" a="1"/>
  <c r="Q663" i="11" a="1"/>
  <c r="Q669" i="11" a="1"/>
  <c r="Q675" i="11" a="1"/>
  <c r="Q681" i="11" a="1"/>
  <c r="Q687" i="11" a="1"/>
  <c r="Q693" i="11" a="1"/>
  <c r="Q699" i="11" a="1"/>
  <c r="Q705" i="11" a="1"/>
  <c r="P69" i="11" a="1"/>
  <c r="P142" i="11" a="1"/>
  <c r="P214" i="11" a="1"/>
  <c r="P386" i="11" a="1"/>
  <c r="P458" i="11" a="1"/>
  <c r="P46" i="11" a="1"/>
  <c r="P119" i="11" a="1"/>
  <c r="P191" i="11" a="1"/>
  <c r="P263" i="11" a="1"/>
  <c r="P435" i="11" a="1"/>
  <c r="P29" i="11" a="1"/>
  <c r="P102" i="11" a="1"/>
  <c r="P174" i="11" a="1"/>
  <c r="P246" i="11" a="1"/>
  <c r="P418" i="11" a="1"/>
  <c r="P60" i="11" a="1"/>
  <c r="P133" i="11" a="1"/>
  <c r="P205" i="11" a="1"/>
  <c r="P277" i="11" a="1"/>
  <c r="P67" i="11" a="1"/>
  <c r="P140" i="11" a="1"/>
  <c r="P212" i="11" a="1"/>
  <c r="P384" i="11" a="1"/>
  <c r="P456" i="11" a="1"/>
  <c r="P473" i="11" a="1"/>
  <c r="P610" i="11" a="1"/>
  <c r="P684" i="11" a="1"/>
  <c r="P498" i="11" a="1"/>
  <c r="P14" i="11" a="1"/>
  <c r="P475" i="11" a="1"/>
  <c r="P619" i="11" a="1"/>
  <c r="P691" i="11" a="1"/>
  <c r="P695" i="11" a="1"/>
  <c r="P592" i="11" a="1"/>
  <c r="P201" i="11" a="1"/>
  <c r="P542" i="11" a="1"/>
  <c r="P650" i="11" a="1"/>
  <c r="P427" i="11" a="1"/>
  <c r="P604" i="11" a="1"/>
  <c r="P135" i="11" a="1"/>
  <c r="P543" i="11" a="1"/>
  <c r="P651" i="11" a="1"/>
  <c r="P431" i="11" a="1"/>
  <c r="P585" i="11" a="1"/>
  <c r="P385" i="11" a="1"/>
  <c r="P576" i="11" a="1"/>
  <c r="P670" i="11" a="1"/>
  <c r="P629" i="11" a="1"/>
  <c r="P527" i="11" a="1"/>
  <c r="P588" i="11" a="1"/>
  <c r="P653" i="11" a="1"/>
  <c r="P2" i="11" a="1"/>
  <c r="P406" i="11" a="1"/>
  <c r="P129" i="11" a="1"/>
  <c r="P219" i="11" a="1"/>
  <c r="Q391" i="11" a="1"/>
  <c r="Q427" i="11" a="1"/>
  <c r="Q463" i="11" a="1"/>
  <c r="Q500" i="11" a="1"/>
  <c r="Q536" i="11" a="1"/>
  <c r="Q572" i="11" a="1"/>
  <c r="Q608" i="11" a="1"/>
  <c r="P3" i="11" a="1"/>
  <c r="P75" i="11" a="1"/>
  <c r="P148" i="11" a="1"/>
  <c r="P220" i="11" a="1"/>
  <c r="P392" i="11" a="1"/>
  <c r="P464" i="11" a="1"/>
  <c r="P52" i="11" a="1"/>
  <c r="P125" i="11" a="1"/>
  <c r="P197" i="11" a="1"/>
  <c r="P269" i="11" a="1"/>
  <c r="P441" i="11" a="1"/>
  <c r="P35" i="11" a="1"/>
  <c r="P108" i="11" a="1"/>
  <c r="P180" i="11" a="1"/>
  <c r="P252" i="11" a="1"/>
  <c r="P424" i="11" a="1"/>
  <c r="P66" i="11" a="1"/>
  <c r="P139" i="11" a="1"/>
  <c r="P211" i="11" a="1"/>
  <c r="P383" i="11" a="1"/>
  <c r="P73" i="11" a="1"/>
  <c r="P146" i="11" a="1"/>
  <c r="P218" i="11" a="1"/>
  <c r="P390" i="11" a="1"/>
  <c r="P462" i="11" a="1"/>
  <c r="P486" i="11" a="1"/>
  <c r="P618" i="11" a="1"/>
  <c r="P690" i="11" a="1"/>
  <c r="P508" i="11" a="1"/>
  <c r="P50" i="11" a="1"/>
  <c r="P499" i="11" a="1"/>
  <c r="P625" i="11" a="1"/>
  <c r="P697" i="11" a="1"/>
  <c r="P443" i="11" a="1"/>
  <c r="P613" i="11" a="1"/>
  <c r="P237" i="11" a="1"/>
  <c r="P552" i="11" a="1"/>
  <c r="P656" i="11" a="1"/>
  <c r="P479" i="11" a="1"/>
  <c r="P546" i="11" a="1"/>
  <c r="P171" i="11" a="1"/>
  <c r="P554" i="11" a="1"/>
  <c r="P657" i="11" a="1"/>
  <c r="P449" i="11" a="1"/>
  <c r="P596" i="11" a="1"/>
  <c r="P409" i="11" a="1"/>
  <c r="P586" i="11" a="1"/>
  <c r="P676" i="11" a="1"/>
  <c r="P647" i="11" a="1"/>
  <c r="P537" i="11" a="1"/>
  <c r="P623" i="11" a="1"/>
  <c r="P568" i="11" a="1"/>
  <c r="P179" i="11" a="1"/>
  <c r="P672" i="11" a="1"/>
  <c r="P639" i="11" a="1"/>
  <c r="Q394" i="11" a="1"/>
  <c r="Q430" i="11" a="1"/>
  <c r="Q466" i="11" a="1"/>
  <c r="Q503" i="11" a="1"/>
  <c r="Q539" i="11" a="1"/>
  <c r="Q575" i="11" a="1"/>
  <c r="Q611" i="11" a="1"/>
  <c r="Q622" i="11" a="1"/>
  <c r="Q628" i="11" a="1"/>
  <c r="Q634" i="11" a="1"/>
  <c r="Q640" i="11" a="1"/>
  <c r="Q646" i="11" a="1"/>
  <c r="Q652" i="11" a="1"/>
  <c r="Q658" i="11" a="1"/>
  <c r="Q664" i="11" a="1"/>
  <c r="Q670" i="11" a="1"/>
  <c r="Q676" i="11" a="1"/>
  <c r="Q682" i="11" a="1"/>
  <c r="Q688" i="11" a="1"/>
  <c r="Q694" i="11" a="1"/>
  <c r="Q700" i="11" a="1"/>
  <c r="Q706" i="11" a="1"/>
  <c r="P9" i="11" a="1"/>
  <c r="P81" i="11" a="1"/>
  <c r="P154" i="11" a="1"/>
  <c r="P226" i="11" a="1"/>
  <c r="P398" i="11" a="1"/>
  <c r="P470" i="11" a="1"/>
  <c r="P58" i="11" a="1"/>
  <c r="P131" i="11" a="1"/>
  <c r="P203" i="11" a="1"/>
  <c r="P275" i="11" a="1"/>
  <c r="P447" i="11" a="1"/>
  <c r="P41" i="11" a="1"/>
  <c r="P114" i="11" a="1"/>
  <c r="P186" i="11" a="1"/>
  <c r="P258" i="11" a="1"/>
  <c r="P430" i="11" a="1"/>
  <c r="P72" i="11" a="1"/>
  <c r="P145" i="11" a="1"/>
  <c r="P217" i="11" a="1"/>
  <c r="P7" i="11" a="1"/>
  <c r="P79" i="11" a="1"/>
  <c r="P152" i="11" a="1"/>
  <c r="P224" i="11" a="1"/>
  <c r="P396" i="11" a="1"/>
  <c r="P8" i="11" a="1"/>
  <c r="P497" i="11" a="1"/>
  <c r="P624" i="11" a="1"/>
  <c r="P696" i="11" a="1"/>
  <c r="P529" i="11" a="1"/>
  <c r="P86" i="11" a="1"/>
  <c r="P509" i="11" a="1"/>
  <c r="P631" i="11" a="1"/>
  <c r="P703" i="11" a="1"/>
  <c r="P461" i="11" a="1"/>
  <c r="P525" i="11" a="1"/>
  <c r="P273" i="11" a="1"/>
  <c r="P562" i="11" a="1"/>
  <c r="P662" i="11" a="1"/>
  <c r="P490" i="11" a="1"/>
  <c r="P183" i="11" a="1"/>
  <c r="P207" i="11" a="1"/>
  <c r="P564" i="11" a="1"/>
  <c r="P663" i="11" a="1"/>
  <c r="P467" i="11" a="1"/>
  <c r="P606" i="11" a="1"/>
  <c r="P433" i="11" a="1"/>
  <c r="P607" i="11" a="1"/>
  <c r="P682" i="11" a="1"/>
  <c r="P677" i="11" a="1"/>
  <c r="P548" i="11" a="1"/>
  <c r="P483" i="11" a="1"/>
  <c r="P274" i="11" a="1"/>
  <c r="P17" i="11" a="1"/>
  <c r="P265" i="11" a="1"/>
  <c r="P474" i="11" a="1"/>
  <c r="P638" i="11" a="1"/>
  <c r="P213" i="11" a="1"/>
  <c r="Q397" i="11" a="1"/>
  <c r="Q433" i="11" a="1"/>
  <c r="Q469" i="11" a="1"/>
  <c r="Q506" i="11" a="1"/>
  <c r="Q542" i="11" a="1"/>
  <c r="Q578" i="11" a="1"/>
  <c r="Q614" i="11" a="1"/>
  <c r="P15" i="11" a="1"/>
  <c r="P87" i="11" a="1"/>
  <c r="P160" i="11" a="1"/>
  <c r="P232" i="11" a="1"/>
  <c r="P404" i="11" a="1"/>
  <c r="P476" i="11" a="1"/>
  <c r="P64" i="11" a="1"/>
  <c r="P137" i="11" a="1"/>
  <c r="P209" i="11" a="1"/>
  <c r="P281" i="11" a="1"/>
  <c r="P453" i="11" a="1"/>
  <c r="P47" i="11" a="1"/>
  <c r="P120" i="11" a="1"/>
  <c r="P192" i="11" a="1"/>
  <c r="P264" i="11" a="1"/>
  <c r="P6" i="11" a="1"/>
  <c r="P78" i="11" a="1"/>
  <c r="P151" i="11" a="1"/>
  <c r="P223" i="11" a="1"/>
  <c r="P13" i="11" a="1"/>
  <c r="P85" i="11" a="1"/>
  <c r="P158" i="11" a="1"/>
  <c r="P230" i="11" a="1"/>
  <c r="P402" i="11" a="1"/>
  <c r="P44" i="11" a="1"/>
  <c r="P507" i="11" a="1"/>
  <c r="P630" i="11" a="1"/>
  <c r="P702" i="11" a="1"/>
  <c r="P539" i="11" a="1"/>
  <c r="P123" i="11" a="1"/>
  <c r="P519" i="11" a="1"/>
  <c r="P637" i="11" a="1"/>
  <c r="P469" i="11" a="1"/>
  <c r="P488" i="11" a="1"/>
  <c r="P608" i="11" a="1"/>
  <c r="P401" i="11" a="1"/>
  <c r="P583" i="11" a="1"/>
  <c r="P668" i="11" a="1"/>
  <c r="P501" i="11" a="1"/>
  <c r="P506" i="11" a="1"/>
  <c r="P243" i="11" a="1"/>
  <c r="P574" i="11" a="1"/>
  <c r="P669" i="11" a="1"/>
  <c r="P481" i="11" a="1"/>
  <c r="P597" i="11" a="1"/>
  <c r="P451" i="11" a="1"/>
  <c r="P616" i="11" a="1"/>
  <c r="P688" i="11" a="1"/>
  <c r="P701" i="11" a="1"/>
  <c r="P558" i="11" a="1"/>
  <c r="P689" i="11" a="1"/>
  <c r="P622" i="11" a="1"/>
  <c r="P130" i="11" a="1"/>
  <c r="P251" i="11" a="1"/>
  <c r="P234" i="11" a="1"/>
  <c r="P55" i="11" a="1"/>
  <c r="P439" i="11" a="1"/>
  <c r="P679" i="11" a="1"/>
  <c r="P436" i="11" a="1"/>
  <c r="P565" i="11" a="1"/>
  <c r="AB91" i="11" l="1"/>
  <c r="AD91" i="11" s="1"/>
  <c r="Y91" i="11"/>
  <c r="AA91" i="11" s="1"/>
  <c r="X91" i="11"/>
  <c r="Q614" i="11"/>
  <c r="Q578" i="11"/>
  <c r="Q542" i="11"/>
  <c r="Q506" i="11"/>
  <c r="Q469" i="11"/>
  <c r="Q433" i="11"/>
  <c r="S433" i="11" s="1"/>
  <c r="U433" i="11" s="1"/>
  <c r="Q397" i="11"/>
  <c r="S397" i="11" s="1"/>
  <c r="U397" i="11" s="1"/>
  <c r="Q706" i="11"/>
  <c r="Q700" i="11"/>
  <c r="S700" i="11" s="1"/>
  <c r="U700" i="11" s="1"/>
  <c r="Q694" i="11"/>
  <c r="Q688" i="11"/>
  <c r="Q682" i="11"/>
  <c r="Q676" i="11"/>
  <c r="Q670" i="11"/>
  <c r="Q664" i="11"/>
  <c r="Q658" i="11"/>
  <c r="Q652" i="11"/>
  <c r="Q646" i="11"/>
  <c r="Q640" i="11"/>
  <c r="Q634" i="11"/>
  <c r="Q628" i="11"/>
  <c r="S628" i="11" s="1"/>
  <c r="U628" i="11" s="1"/>
  <c r="Q622" i="11"/>
  <c r="Q611" i="11"/>
  <c r="Q575" i="11"/>
  <c r="Q539" i="11"/>
  <c r="Q503" i="11"/>
  <c r="Q466" i="11"/>
  <c r="Q430" i="11"/>
  <c r="Q394" i="11"/>
  <c r="Q608" i="11"/>
  <c r="Q572" i="11"/>
  <c r="S572" i="11" s="1"/>
  <c r="U572" i="11" s="1"/>
  <c r="Q536" i="11"/>
  <c r="Q500" i="11"/>
  <c r="S500" i="11" s="1"/>
  <c r="U500" i="11" s="1"/>
  <c r="Q463" i="11"/>
  <c r="Q427" i="11"/>
  <c r="Q391" i="11"/>
  <c r="Q705" i="11"/>
  <c r="Q699" i="11"/>
  <c r="Q693" i="11"/>
  <c r="Q687" i="11"/>
  <c r="Q681" i="11"/>
  <c r="Q675" i="11"/>
  <c r="S675" i="11" s="1"/>
  <c r="U675" i="11" s="1"/>
  <c r="Q669" i="11"/>
  <c r="Q663" i="11"/>
  <c r="Q657" i="11"/>
  <c r="S657" i="11" s="1"/>
  <c r="U657" i="11" s="1"/>
  <c r="Q651" i="11"/>
  <c r="Q645" i="11"/>
  <c r="Q639" i="11"/>
  <c r="Q633" i="11"/>
  <c r="Q627" i="11"/>
  <c r="Q621" i="11"/>
  <c r="Q605" i="11"/>
  <c r="Q569" i="11"/>
  <c r="Q533" i="11"/>
  <c r="S533" i="11" s="1"/>
  <c r="U533" i="11" s="1"/>
  <c r="Q497" i="11"/>
  <c r="S497" i="11" s="1"/>
  <c r="U497" i="11" s="1"/>
  <c r="Q460" i="11"/>
  <c r="Q424" i="11"/>
  <c r="S424" i="11" s="1"/>
  <c r="U424" i="11" s="1"/>
  <c r="Q388" i="11"/>
  <c r="Q602" i="11"/>
  <c r="Q566" i="11"/>
  <c r="Q530" i="11"/>
  <c r="Q493" i="11"/>
  <c r="Q457" i="11"/>
  <c r="Q421" i="11"/>
  <c r="Q385" i="11"/>
  <c r="Q704" i="11"/>
  <c r="S704" i="11" s="1"/>
  <c r="U704" i="11" s="1"/>
  <c r="Q698" i="11"/>
  <c r="S698" i="11" s="1"/>
  <c r="U698" i="11" s="1"/>
  <c r="Q692" i="11"/>
  <c r="Q686" i="11"/>
  <c r="S686" i="11" s="1"/>
  <c r="U686" i="11" s="1"/>
  <c r="Q680" i="11"/>
  <c r="Q674" i="11"/>
  <c r="Q668" i="11"/>
  <c r="Q662" i="11"/>
  <c r="Q656" i="11"/>
  <c r="Q650" i="11"/>
  <c r="Q644" i="11"/>
  <c r="Q638" i="11"/>
  <c r="Q632" i="11"/>
  <c r="S632" i="11" s="1"/>
  <c r="U632" i="11" s="1"/>
  <c r="Q626" i="11"/>
  <c r="S626" i="11" s="1"/>
  <c r="U626" i="11" s="1"/>
  <c r="Q620" i="11"/>
  <c r="Q599" i="11"/>
  <c r="S599" i="11" s="1"/>
  <c r="U599" i="11" s="1"/>
  <c r="Q563" i="11"/>
  <c r="Q527" i="11"/>
  <c r="Q490" i="11"/>
  <c r="Q454" i="11"/>
  <c r="Q418" i="11"/>
  <c r="Q382" i="11"/>
  <c r="Q596" i="11"/>
  <c r="Q560" i="11"/>
  <c r="Q524" i="11"/>
  <c r="S524" i="11" s="1"/>
  <c r="U524" i="11" s="1"/>
  <c r="Q487" i="11"/>
  <c r="S487" i="11" s="1"/>
  <c r="U487" i="11" s="1"/>
  <c r="Q451" i="11"/>
  <c r="Q415" i="11"/>
  <c r="S415" i="11" s="1"/>
  <c r="U415" i="11" s="1"/>
  <c r="Q279" i="11"/>
  <c r="Q703" i="11"/>
  <c r="Q697" i="11"/>
  <c r="Q691" i="11"/>
  <c r="Q685" i="11"/>
  <c r="Q679" i="11"/>
  <c r="Q673" i="11"/>
  <c r="Q667" i="11"/>
  <c r="Q661" i="11"/>
  <c r="Q655" i="11"/>
  <c r="S655" i="11" s="1"/>
  <c r="U655" i="11" s="1"/>
  <c r="Q649" i="11"/>
  <c r="Q643" i="11"/>
  <c r="S643" i="11" s="1"/>
  <c r="U643" i="11" s="1"/>
  <c r="Q637" i="11"/>
  <c r="Q631" i="11"/>
  <c r="Q625" i="11"/>
  <c r="Q619" i="11"/>
  <c r="Q593" i="11"/>
  <c r="Q557" i="11"/>
  <c r="Q521" i="11"/>
  <c r="Q484" i="11"/>
  <c r="Q448" i="11"/>
  <c r="S448" i="11" s="1"/>
  <c r="U448" i="11" s="1"/>
  <c r="Q412" i="11"/>
  <c r="S412" i="11" s="1"/>
  <c r="U412" i="11" s="1"/>
  <c r="Q276" i="11"/>
  <c r="S276" i="11" s="1"/>
  <c r="U276" i="11" s="1"/>
  <c r="Q590" i="11"/>
  <c r="S590" i="11" s="1"/>
  <c r="U590" i="11" s="1"/>
  <c r="Q554" i="11"/>
  <c r="Q518" i="11"/>
  <c r="Q481" i="11"/>
  <c r="Q445" i="11"/>
  <c r="Q409" i="11"/>
  <c r="Q273" i="11"/>
  <c r="Q702" i="11"/>
  <c r="Q696" i="11"/>
  <c r="Q690" i="11"/>
  <c r="Q684" i="11"/>
  <c r="Q678" i="11"/>
  <c r="Q672" i="11"/>
  <c r="S672" i="11" s="1"/>
  <c r="U672" i="11" s="1"/>
  <c r="Q666" i="11"/>
  <c r="Q660" i="11"/>
  <c r="Q654" i="11"/>
  <c r="Q648" i="11"/>
  <c r="Q642" i="11"/>
  <c r="Q636" i="11"/>
  <c r="Q630" i="11"/>
  <c r="Q624" i="11"/>
  <c r="Q618" i="11"/>
  <c r="S618" i="11" s="1"/>
  <c r="U618" i="11" s="1"/>
  <c r="Q587" i="11"/>
  <c r="S587" i="11" s="1"/>
  <c r="U587" i="11" s="1"/>
  <c r="Q551" i="11"/>
  <c r="Q515" i="11"/>
  <c r="S515" i="11" s="1"/>
  <c r="U515" i="11" s="1"/>
  <c r="Q478" i="11"/>
  <c r="Q442" i="11"/>
  <c r="Q406" i="11"/>
  <c r="Q270" i="11"/>
  <c r="Q584" i="11"/>
  <c r="Q548" i="11"/>
  <c r="Q512" i="11"/>
  <c r="Q475" i="11"/>
  <c r="Q439" i="11"/>
  <c r="S439" i="11" s="1"/>
  <c r="U439" i="11" s="1"/>
  <c r="Q403" i="11"/>
  <c r="S403" i="11" s="1"/>
  <c r="U403" i="11" s="1"/>
  <c r="Q267" i="11"/>
  <c r="S267" i="11" s="1"/>
  <c r="U267" i="11" s="1"/>
  <c r="Q707" i="11"/>
  <c r="S707" i="11" s="1"/>
  <c r="U707" i="11" s="1"/>
  <c r="Q701" i="11"/>
  <c r="Q695" i="11"/>
  <c r="Q689" i="11"/>
  <c r="Q683" i="11"/>
  <c r="Q677" i="11"/>
  <c r="Q671" i="11"/>
  <c r="Q665" i="11"/>
  <c r="Q659" i="11"/>
  <c r="Q653" i="11"/>
  <c r="S653" i="11" s="1"/>
  <c r="U653" i="11" s="1"/>
  <c r="Q647" i="11"/>
  <c r="S647" i="11" s="1"/>
  <c r="U647" i="11" s="1"/>
  <c r="Q641" i="11"/>
  <c r="Q635" i="11"/>
  <c r="S635" i="11" s="1"/>
  <c r="U635" i="11" s="1"/>
  <c r="Q629" i="11"/>
  <c r="Q623" i="11"/>
  <c r="Q617" i="11"/>
  <c r="Q581" i="11"/>
  <c r="Q545" i="11"/>
  <c r="Q509" i="11"/>
  <c r="Q472" i="11"/>
  <c r="Q436" i="11"/>
  <c r="Q400" i="11"/>
  <c r="S400" i="11" s="1"/>
  <c r="U400" i="11" s="1"/>
  <c r="Q616" i="11"/>
  <c r="S616" i="11" s="1"/>
  <c r="U616" i="11" s="1"/>
  <c r="Q610" i="11"/>
  <c r="Q604" i="11"/>
  <c r="S604" i="11" s="1"/>
  <c r="U604" i="11" s="1"/>
  <c r="Q598" i="11"/>
  <c r="Q592" i="11"/>
  <c r="Q586" i="11"/>
  <c r="Q580" i="11"/>
  <c r="Q574" i="11"/>
  <c r="Q568" i="11"/>
  <c r="Q562" i="11"/>
  <c r="Q556" i="11"/>
  <c r="Q550" i="11"/>
  <c r="Q544" i="11"/>
  <c r="Q538" i="11"/>
  <c r="Q532" i="11"/>
  <c r="S532" i="11" s="1"/>
  <c r="U532" i="11" s="1"/>
  <c r="Q526" i="11"/>
  <c r="Q520" i="11"/>
  <c r="Q514" i="11"/>
  <c r="Q508" i="11"/>
  <c r="Q502" i="11"/>
  <c r="Q495" i="11"/>
  <c r="Q489" i="11"/>
  <c r="Q483" i="11"/>
  <c r="S483" i="11" s="1"/>
  <c r="U483" i="11" s="1"/>
  <c r="Q477" i="11"/>
  <c r="S477" i="11" s="1"/>
  <c r="U477" i="11" s="1"/>
  <c r="Q471" i="11"/>
  <c r="S471" i="11" s="1"/>
  <c r="U471" i="11" s="1"/>
  <c r="Q465" i="11"/>
  <c r="Q459" i="11"/>
  <c r="S459" i="11" s="1"/>
  <c r="U459" i="11" s="1"/>
  <c r="Q453" i="11"/>
  <c r="Q447" i="11"/>
  <c r="Q441" i="11"/>
  <c r="Q435" i="11"/>
  <c r="Q429" i="11"/>
  <c r="Q423" i="11"/>
  <c r="Q417" i="11"/>
  <c r="Q411" i="11"/>
  <c r="Q405" i="11"/>
  <c r="S405" i="11" s="1"/>
  <c r="U405" i="11" s="1"/>
  <c r="Q399" i="11"/>
  <c r="S399" i="11" s="1"/>
  <c r="U399" i="11" s="1"/>
  <c r="Q393" i="11"/>
  <c r="S393" i="11" s="1"/>
  <c r="U393" i="11" s="1"/>
  <c r="Q387" i="11"/>
  <c r="S387" i="11" s="1"/>
  <c r="U387" i="11" s="1"/>
  <c r="Q281" i="11"/>
  <c r="Q275" i="11"/>
  <c r="Q269" i="11"/>
  <c r="Q263" i="11"/>
  <c r="Q257" i="11"/>
  <c r="Q251" i="11"/>
  <c r="Q245" i="11"/>
  <c r="Q239" i="11"/>
  <c r="S239" i="11" s="1"/>
  <c r="U239" i="11" s="1"/>
  <c r="Q233" i="11"/>
  <c r="S233" i="11" s="1"/>
  <c r="U233" i="11" s="1"/>
  <c r="Q227" i="11"/>
  <c r="S227" i="11" s="1"/>
  <c r="U227" i="11" s="1"/>
  <c r="Q221" i="11"/>
  <c r="S221" i="11" s="1"/>
  <c r="U221" i="11" s="1"/>
  <c r="Q215" i="11"/>
  <c r="S215" i="11" s="1"/>
  <c r="U215" i="11" s="1"/>
  <c r="Q209" i="11"/>
  <c r="Q203" i="11"/>
  <c r="Q197" i="11"/>
  <c r="Q191" i="11"/>
  <c r="Q185" i="11"/>
  <c r="Q179" i="11"/>
  <c r="Q173" i="11"/>
  <c r="Q167" i="11"/>
  <c r="S167" i="11" s="1"/>
  <c r="U167" i="11" s="1"/>
  <c r="Q161" i="11"/>
  <c r="S161" i="11" s="1"/>
  <c r="U161" i="11" s="1"/>
  <c r="Q155" i="11"/>
  <c r="Q149" i="11"/>
  <c r="S149" i="11" s="1"/>
  <c r="U149" i="11" s="1"/>
  <c r="Q143" i="11"/>
  <c r="S143" i="11" s="1"/>
  <c r="U143" i="11" s="1"/>
  <c r="Q137" i="11"/>
  <c r="Q131" i="11"/>
  <c r="Q125" i="11"/>
  <c r="Q119" i="11"/>
  <c r="Q113" i="11"/>
  <c r="Q107" i="11"/>
  <c r="Q101" i="11"/>
  <c r="Q95" i="11"/>
  <c r="S95" i="11" s="1"/>
  <c r="U95" i="11" s="1"/>
  <c r="Q88" i="11"/>
  <c r="Q82" i="11"/>
  <c r="S82" i="11" s="1"/>
  <c r="U82" i="11" s="1"/>
  <c r="Q76" i="11"/>
  <c r="Q70" i="11"/>
  <c r="S70" i="11" s="1"/>
  <c r="U70" i="11" s="1"/>
  <c r="Q64" i="11"/>
  <c r="Q58" i="11"/>
  <c r="Q52" i="11"/>
  <c r="Q46" i="11"/>
  <c r="Q40" i="11"/>
  <c r="Q34" i="11"/>
  <c r="Q28" i="11"/>
  <c r="Q22" i="11"/>
  <c r="S22" i="11" s="1"/>
  <c r="U22" i="11" s="1"/>
  <c r="Q16" i="11"/>
  <c r="S16" i="11" s="1"/>
  <c r="U16" i="11" s="1"/>
  <c r="Q10" i="11"/>
  <c r="S10" i="11" s="1"/>
  <c r="U10" i="11" s="1"/>
  <c r="Q615" i="11"/>
  <c r="Q609" i="11"/>
  <c r="S609" i="11" s="1"/>
  <c r="U609" i="11" s="1"/>
  <c r="Q603" i="11"/>
  <c r="Q597" i="11"/>
  <c r="Q591" i="11"/>
  <c r="Q585" i="11"/>
  <c r="Q579" i="11"/>
  <c r="Q573" i="11"/>
  <c r="Q567" i="11"/>
  <c r="Q561" i="11"/>
  <c r="Q555" i="11"/>
  <c r="S555" i="11" s="1"/>
  <c r="U555" i="11" s="1"/>
  <c r="Q549" i="11"/>
  <c r="S549" i="11" s="1"/>
  <c r="U549" i="11" s="1"/>
  <c r="Q543" i="11"/>
  <c r="Q537" i="11"/>
  <c r="S537" i="11" s="1"/>
  <c r="U537" i="11" s="1"/>
  <c r="Q531" i="11"/>
  <c r="Q525" i="11"/>
  <c r="Q519" i="11"/>
  <c r="Q513" i="11"/>
  <c r="Q507" i="11"/>
  <c r="Q501" i="11"/>
  <c r="Q494" i="11"/>
  <c r="Q488" i="11"/>
  <c r="Q482" i="11"/>
  <c r="Q476" i="11"/>
  <c r="S476" i="11" s="1"/>
  <c r="U476" i="11" s="1"/>
  <c r="Q470" i="11"/>
  <c r="Q464" i="11"/>
  <c r="S464" i="11" s="1"/>
  <c r="U464" i="11" s="1"/>
  <c r="Q458" i="11"/>
  <c r="Q452" i="11"/>
  <c r="Q446" i="11"/>
  <c r="Q440" i="11"/>
  <c r="Q434" i="11"/>
  <c r="Q428" i="11"/>
  <c r="Q422" i="11"/>
  <c r="Q416" i="11"/>
  <c r="S416" i="11" s="1"/>
  <c r="U416" i="11" s="1"/>
  <c r="Q410" i="11"/>
  <c r="S410" i="11" s="1"/>
  <c r="U410" i="11" s="1"/>
  <c r="Q404" i="11"/>
  <c r="S404" i="11" s="1"/>
  <c r="U404" i="11" s="1"/>
  <c r="Q398" i="11"/>
  <c r="Q392" i="11"/>
  <c r="S392" i="11" s="1"/>
  <c r="U392" i="11" s="1"/>
  <c r="Q386" i="11"/>
  <c r="Q280" i="11"/>
  <c r="Q274" i="11"/>
  <c r="Q268" i="11"/>
  <c r="Q262" i="11"/>
  <c r="Q256" i="11"/>
  <c r="Q250" i="11"/>
  <c r="Q244" i="11"/>
  <c r="S244" i="11" s="1"/>
  <c r="U244" i="11" s="1"/>
  <c r="Q238" i="11"/>
  <c r="S238" i="11" s="1"/>
  <c r="U238" i="11" s="1"/>
  <c r="Q232" i="11"/>
  <c r="S232" i="11" s="1"/>
  <c r="U232" i="11" s="1"/>
  <c r="Q226" i="11"/>
  <c r="S226" i="11" s="1"/>
  <c r="U226" i="11" s="1"/>
  <c r="Q220" i="11"/>
  <c r="S220" i="11" s="1"/>
  <c r="U220" i="11" s="1"/>
  <c r="Q214" i="11"/>
  <c r="Q208" i="11"/>
  <c r="Q202" i="11"/>
  <c r="Q196" i="11"/>
  <c r="Q190" i="11"/>
  <c r="Q184" i="11"/>
  <c r="Q178" i="11"/>
  <c r="Q172" i="11"/>
  <c r="Q166" i="11"/>
  <c r="S166" i="11" s="1"/>
  <c r="U166" i="11" s="1"/>
  <c r="Q160" i="11"/>
  <c r="S160" i="11" s="1"/>
  <c r="U160" i="11" s="1"/>
  <c r="Q154" i="11"/>
  <c r="S154" i="11" s="1"/>
  <c r="U154" i="11" s="1"/>
  <c r="Q148" i="11"/>
  <c r="S148" i="11" s="1"/>
  <c r="U148" i="11" s="1"/>
  <c r="Q142" i="11"/>
  <c r="Q136" i="11"/>
  <c r="Q130" i="11"/>
  <c r="Q124" i="11"/>
  <c r="Q118" i="11"/>
  <c r="Q112" i="11"/>
  <c r="Q106" i="11"/>
  <c r="Q100" i="11"/>
  <c r="Q94" i="11"/>
  <c r="Q87" i="11"/>
  <c r="S87" i="11" s="1"/>
  <c r="U87" i="11" s="1"/>
  <c r="Q81" i="11"/>
  <c r="Q75" i="11"/>
  <c r="S75" i="11" s="1"/>
  <c r="U75" i="11" s="1"/>
  <c r="Q69" i="11"/>
  <c r="Q63" i="11"/>
  <c r="Q57" i="11"/>
  <c r="Q51" i="11"/>
  <c r="Q45" i="11"/>
  <c r="Q39" i="11"/>
  <c r="Q33" i="11"/>
  <c r="Q27" i="11"/>
  <c r="Q21" i="11"/>
  <c r="S21" i="11" s="1"/>
  <c r="U21" i="11" s="1"/>
  <c r="Q15" i="11"/>
  <c r="Q9" i="11"/>
  <c r="Q261" i="11"/>
  <c r="S261" i="11" s="1"/>
  <c r="U261" i="11" s="1"/>
  <c r="Q255" i="11"/>
  <c r="Q249" i="11"/>
  <c r="Q243" i="11"/>
  <c r="Q237" i="11"/>
  <c r="Q231" i="11"/>
  <c r="Q225" i="11"/>
  <c r="Q219" i="11"/>
  <c r="Q213" i="11"/>
  <c r="S213" i="11" s="1"/>
  <c r="U213" i="11" s="1"/>
  <c r="Q207" i="11"/>
  <c r="Q201" i="11"/>
  <c r="Q195" i="11"/>
  <c r="S195" i="11" s="1"/>
  <c r="U195" i="11" s="1"/>
  <c r="Q189" i="11"/>
  <c r="S189" i="11" s="1"/>
  <c r="U189" i="11" s="1"/>
  <c r="Q183" i="11"/>
  <c r="Q177" i="11"/>
  <c r="Q171" i="11"/>
  <c r="Q165" i="11"/>
  <c r="Q159" i="11"/>
  <c r="Q153" i="11"/>
  <c r="Q147" i="11"/>
  <c r="Q141" i="11"/>
  <c r="Q135" i="11"/>
  <c r="S135" i="11" s="1"/>
  <c r="U135" i="11" s="1"/>
  <c r="Q129" i="11"/>
  <c r="S129" i="11" s="1"/>
  <c r="U129" i="11" s="1"/>
  <c r="Q123" i="11"/>
  <c r="Q117" i="11"/>
  <c r="S117" i="11" s="1"/>
  <c r="U117" i="11" s="1"/>
  <c r="Q111" i="11"/>
  <c r="Q105" i="11"/>
  <c r="Q99" i="11"/>
  <c r="Q93" i="11"/>
  <c r="Q86" i="11"/>
  <c r="Q80" i="11"/>
  <c r="Q74" i="11"/>
  <c r="Q68" i="11"/>
  <c r="S68" i="11" s="1"/>
  <c r="U68" i="11" s="1"/>
  <c r="Q62" i="11"/>
  <c r="S62" i="11" s="1"/>
  <c r="U62" i="11" s="1"/>
  <c r="Q56" i="11"/>
  <c r="S56" i="11" s="1"/>
  <c r="U56" i="11" s="1"/>
  <c r="Q50" i="11"/>
  <c r="Q44" i="11"/>
  <c r="S44" i="11" s="1"/>
  <c r="U44" i="11" s="1"/>
  <c r="Q38" i="11"/>
  <c r="Q32" i="11"/>
  <c r="Q26" i="11"/>
  <c r="Q20" i="11"/>
  <c r="Q14" i="11"/>
  <c r="Q8" i="11"/>
  <c r="Q613" i="11"/>
  <c r="Q607" i="11"/>
  <c r="S607" i="11" s="1"/>
  <c r="U607" i="11" s="1"/>
  <c r="Q601" i="11"/>
  <c r="S601" i="11" s="1"/>
  <c r="U601" i="11" s="1"/>
  <c r="Q595" i="11"/>
  <c r="Q589" i="11"/>
  <c r="Q583" i="11"/>
  <c r="S583" i="11" s="1"/>
  <c r="U583" i="11" s="1"/>
  <c r="Q577" i="11"/>
  <c r="Q571" i="11"/>
  <c r="Q565" i="11"/>
  <c r="Q559" i="11"/>
  <c r="Q553" i="11"/>
  <c r="Q547" i="11"/>
  <c r="Q541" i="11"/>
  <c r="Q535" i="11"/>
  <c r="S535" i="11" s="1"/>
  <c r="U535" i="11" s="1"/>
  <c r="Q529" i="11"/>
  <c r="Q523" i="11"/>
  <c r="S523" i="11" s="1"/>
  <c r="U523" i="11" s="1"/>
  <c r="Q517" i="11"/>
  <c r="Q511" i="11"/>
  <c r="S511" i="11" s="1"/>
  <c r="U511" i="11" s="1"/>
  <c r="Q505" i="11"/>
  <c r="Q499" i="11"/>
  <c r="Q492" i="11"/>
  <c r="Q486" i="11"/>
  <c r="Q480" i="11"/>
  <c r="Q474" i="11"/>
  <c r="Q468" i="11"/>
  <c r="Q462" i="11"/>
  <c r="S462" i="11" s="1"/>
  <c r="U462" i="11" s="1"/>
  <c r="Q456" i="11"/>
  <c r="S456" i="11" s="1"/>
  <c r="U456" i="11" s="1"/>
  <c r="Q450" i="11"/>
  <c r="Q444" i="11"/>
  <c r="Q438" i="11"/>
  <c r="S438" i="11" s="1"/>
  <c r="U438" i="11" s="1"/>
  <c r="Q432" i="11"/>
  <c r="Q426" i="11"/>
  <c r="Q420" i="11"/>
  <c r="Q414" i="11"/>
  <c r="Q408" i="11"/>
  <c r="Q402" i="11"/>
  <c r="Q396" i="11"/>
  <c r="Q390" i="11"/>
  <c r="Q384" i="11"/>
  <c r="S384" i="11" s="1"/>
  <c r="U384" i="11" s="1"/>
  <c r="Q278" i="11"/>
  <c r="S278" i="11" s="1"/>
  <c r="U278" i="11" s="1"/>
  <c r="Q272" i="11"/>
  <c r="S272" i="11" s="1"/>
  <c r="U272" i="11" s="1"/>
  <c r="Q266" i="11"/>
  <c r="S266" i="11" s="1"/>
  <c r="U266" i="11" s="1"/>
  <c r="Q260" i="11"/>
  <c r="Q254" i="11"/>
  <c r="Q248" i="11"/>
  <c r="Q242" i="11"/>
  <c r="Q236" i="11"/>
  <c r="Q230" i="11"/>
  <c r="Q224" i="11"/>
  <c r="Q218" i="11"/>
  <c r="S218" i="11" s="1"/>
  <c r="U218" i="11" s="1"/>
  <c r="Q212" i="11"/>
  <c r="S212" i="11" s="1"/>
  <c r="U212" i="11" s="1"/>
  <c r="Q206" i="11"/>
  <c r="S206" i="11" s="1"/>
  <c r="U206" i="11" s="1"/>
  <c r="Q200" i="11"/>
  <c r="S200" i="11" s="1"/>
  <c r="U200" i="11" s="1"/>
  <c r="Q194" i="11"/>
  <c r="S194" i="11" s="1"/>
  <c r="U194" i="11" s="1"/>
  <c r="Q188" i="11"/>
  <c r="Q182" i="11"/>
  <c r="Q176" i="11"/>
  <c r="Q170" i="11"/>
  <c r="Q164" i="11"/>
  <c r="Q158" i="11"/>
  <c r="Q152" i="11"/>
  <c r="Q146" i="11"/>
  <c r="Q140" i="11"/>
  <c r="S140" i="11" s="1"/>
  <c r="U140" i="11" s="1"/>
  <c r="Q134" i="11"/>
  <c r="S134" i="11" s="1"/>
  <c r="U134" i="11" s="1"/>
  <c r="Q128" i="11"/>
  <c r="Q122" i="11"/>
  <c r="S122" i="11" s="1"/>
  <c r="U122" i="11" s="1"/>
  <c r="Q116" i="11"/>
  <c r="Q110" i="11"/>
  <c r="Q104" i="11"/>
  <c r="Q98" i="11"/>
  <c r="Q92" i="11"/>
  <c r="Q85" i="11"/>
  <c r="Q79" i="11"/>
  <c r="Q73" i="11"/>
  <c r="Q67" i="11"/>
  <c r="S67" i="11" s="1"/>
  <c r="U67" i="11" s="1"/>
  <c r="Q61" i="11"/>
  <c r="S61" i="11" s="1"/>
  <c r="U61" i="11" s="1"/>
  <c r="Q55" i="11"/>
  <c r="Q49" i="11"/>
  <c r="S49" i="11" s="1"/>
  <c r="U49" i="11" s="1"/>
  <c r="Q43" i="11"/>
  <c r="Q37" i="11"/>
  <c r="Q31" i="11"/>
  <c r="Q25" i="11"/>
  <c r="Q19" i="11"/>
  <c r="Q13" i="11"/>
  <c r="Q7" i="11"/>
  <c r="Q612" i="11"/>
  <c r="Q606" i="11"/>
  <c r="S606" i="11" s="1"/>
  <c r="U606" i="11" s="1"/>
  <c r="Q600" i="11"/>
  <c r="Q594" i="11"/>
  <c r="Q588" i="11"/>
  <c r="S588" i="11" s="1"/>
  <c r="U588" i="11" s="1"/>
  <c r="Q582" i="11"/>
  <c r="Q576" i="11"/>
  <c r="Q570" i="11"/>
  <c r="Q564" i="11"/>
  <c r="Q558" i="11"/>
  <c r="Q552" i="11"/>
  <c r="Q546" i="11"/>
  <c r="Q540" i="11"/>
  <c r="Q534" i="11"/>
  <c r="S534" i="11" s="1"/>
  <c r="U534" i="11" s="1"/>
  <c r="Q528" i="11"/>
  <c r="S528" i="11" s="1"/>
  <c r="U528" i="11" s="1"/>
  <c r="Q522" i="11"/>
  <c r="Q516" i="11"/>
  <c r="S516" i="11" s="1"/>
  <c r="U516" i="11" s="1"/>
  <c r="Q510" i="11"/>
  <c r="Q504" i="11"/>
  <c r="Q498" i="11"/>
  <c r="Q491" i="11"/>
  <c r="Q485" i="11"/>
  <c r="Q479" i="11"/>
  <c r="Q473" i="11"/>
  <c r="Q467" i="11"/>
  <c r="Q461" i="11"/>
  <c r="S461" i="11" s="1"/>
  <c r="U461" i="11" s="1"/>
  <c r="Q455" i="11"/>
  <c r="Q449" i="11"/>
  <c r="Q443" i="11"/>
  <c r="S443" i="11" s="1"/>
  <c r="U443" i="11" s="1"/>
  <c r="Q437" i="11"/>
  <c r="Q431" i="11"/>
  <c r="Q425" i="11"/>
  <c r="Q419" i="11"/>
  <c r="Q413" i="11"/>
  <c r="Q407" i="11"/>
  <c r="Q401" i="11"/>
  <c r="Q395" i="11"/>
  <c r="Q389" i="11"/>
  <c r="S389" i="11" s="1"/>
  <c r="U389" i="11" s="1"/>
  <c r="Q383" i="11"/>
  <c r="S383" i="11" s="1"/>
  <c r="U383" i="11" s="1"/>
  <c r="Q277" i="11"/>
  <c r="S277" i="11" s="1"/>
  <c r="U277" i="11" s="1"/>
  <c r="Q271" i="11"/>
  <c r="S271" i="11" s="1"/>
  <c r="U271" i="11" s="1"/>
  <c r="Q265" i="11"/>
  <c r="Q259" i="11"/>
  <c r="Q253" i="11"/>
  <c r="Q247" i="11"/>
  <c r="Q241" i="11"/>
  <c r="Q235" i="11"/>
  <c r="Q229" i="11"/>
  <c r="Q223" i="11"/>
  <c r="S223" i="11" s="1"/>
  <c r="U223" i="11" s="1"/>
  <c r="Q217" i="11"/>
  <c r="S217" i="11" s="1"/>
  <c r="U217" i="11" s="1"/>
  <c r="Q211" i="11"/>
  <c r="S211" i="11" s="1"/>
  <c r="U211" i="11" s="1"/>
  <c r="Q205" i="11"/>
  <c r="S205" i="11" s="1"/>
  <c r="U205" i="11" s="1"/>
  <c r="Q199" i="11"/>
  <c r="S199" i="11" s="1"/>
  <c r="U199" i="11" s="1"/>
  <c r="Q193" i="11"/>
  <c r="Q187" i="11"/>
  <c r="Q181" i="11"/>
  <c r="Q175" i="11"/>
  <c r="Q169" i="11"/>
  <c r="Q163" i="11"/>
  <c r="Q157" i="11"/>
  <c r="Q151" i="11"/>
  <c r="Q145" i="11"/>
  <c r="S145" i="11" s="1"/>
  <c r="U145" i="11" s="1"/>
  <c r="Q139" i="11"/>
  <c r="S139" i="11" s="1"/>
  <c r="U139" i="11" s="1"/>
  <c r="Q133" i="11"/>
  <c r="S133" i="11" s="1"/>
  <c r="U133" i="11" s="1"/>
  <c r="Q127" i="11"/>
  <c r="S127" i="11" s="1"/>
  <c r="U127" i="11" s="1"/>
  <c r="Q121" i="11"/>
  <c r="Q115" i="11"/>
  <c r="Q109" i="11"/>
  <c r="Q103" i="11"/>
  <c r="Q97" i="11"/>
  <c r="Q90" i="11"/>
  <c r="Q84" i="11"/>
  <c r="Q78" i="11"/>
  <c r="Q72" i="11"/>
  <c r="S72" i="11" s="1"/>
  <c r="U72" i="11" s="1"/>
  <c r="Q66" i="11"/>
  <c r="S66" i="11" s="1"/>
  <c r="U66" i="11" s="1"/>
  <c r="Q60" i="11"/>
  <c r="Q54" i="11"/>
  <c r="S54" i="11" s="1"/>
  <c r="U54" i="11" s="1"/>
  <c r="Q48" i="11"/>
  <c r="Q42" i="11"/>
  <c r="Q36" i="11"/>
  <c r="Q30" i="11"/>
  <c r="Q24" i="11"/>
  <c r="Q18" i="11"/>
  <c r="Q12" i="11"/>
  <c r="Q6" i="11"/>
  <c r="Q264" i="11"/>
  <c r="S264" i="11" s="1"/>
  <c r="U264" i="11" s="1"/>
  <c r="Q258" i="11"/>
  <c r="S258" i="11" s="1"/>
  <c r="U258" i="11" s="1"/>
  <c r="Q252" i="11"/>
  <c r="S252" i="11" s="1"/>
  <c r="U252" i="11" s="1"/>
  <c r="Q246" i="11"/>
  <c r="S246" i="11" s="1"/>
  <c r="U246" i="11" s="1"/>
  <c r="Q240" i="11"/>
  <c r="Q234" i="11"/>
  <c r="Q228" i="11"/>
  <c r="Q222" i="11"/>
  <c r="Q216" i="11"/>
  <c r="Q210" i="11"/>
  <c r="Q204" i="11"/>
  <c r="Q198" i="11"/>
  <c r="Q192" i="11"/>
  <c r="S192" i="11" s="1"/>
  <c r="U192" i="11" s="1"/>
  <c r="Q186" i="11"/>
  <c r="S186" i="11" s="1"/>
  <c r="U186" i="11" s="1"/>
  <c r="Q180" i="11"/>
  <c r="S180" i="11" s="1"/>
  <c r="U180" i="11" s="1"/>
  <c r="Q174" i="11"/>
  <c r="S174" i="11" s="1"/>
  <c r="U174" i="11" s="1"/>
  <c r="Q168" i="11"/>
  <c r="Q162" i="11"/>
  <c r="Q156" i="11"/>
  <c r="Q150" i="11"/>
  <c r="Q144" i="11"/>
  <c r="Q138" i="11"/>
  <c r="Q132" i="11"/>
  <c r="Q126" i="11"/>
  <c r="Q120" i="11"/>
  <c r="S120" i="11" s="1"/>
  <c r="U120" i="11" s="1"/>
  <c r="Q114" i="11"/>
  <c r="Q108" i="11"/>
  <c r="Q102" i="11"/>
  <c r="S102" i="11" s="1"/>
  <c r="U102" i="11" s="1"/>
  <c r="Q96" i="11"/>
  <c r="Q89" i="11"/>
  <c r="Q83" i="11"/>
  <c r="Q77" i="11"/>
  <c r="Q71" i="11"/>
  <c r="Q65" i="11"/>
  <c r="Q59" i="11"/>
  <c r="Q53" i="11"/>
  <c r="Q47" i="11"/>
  <c r="Q41" i="11"/>
  <c r="S41" i="11" s="1"/>
  <c r="U41" i="11" s="1"/>
  <c r="Q35" i="11"/>
  <c r="Q29" i="11"/>
  <c r="S29" i="11" s="1"/>
  <c r="U29" i="11" s="1"/>
  <c r="Q23" i="11"/>
  <c r="Q17" i="11"/>
  <c r="Q11" i="11"/>
  <c r="Q5" i="11"/>
  <c r="S677" i="11"/>
  <c r="U677" i="11" s="1"/>
  <c r="S567" i="11"/>
  <c r="U567" i="11" s="1"/>
  <c r="S50" i="11"/>
  <c r="U50" i="11" s="1"/>
  <c r="S556" i="11"/>
  <c r="U556" i="11" s="1"/>
  <c r="S418" i="11"/>
  <c r="U418" i="11" s="1"/>
  <c r="S242" i="11"/>
  <c r="U242" i="11" s="1"/>
  <c r="S589" i="11"/>
  <c r="U589" i="11" s="1"/>
  <c r="S578" i="11"/>
  <c r="U578" i="11" s="1"/>
  <c r="S568" i="11"/>
  <c r="U568" i="11" s="1"/>
  <c r="S558" i="11"/>
  <c r="U558" i="11" s="1"/>
  <c r="S527" i="11"/>
  <c r="U527" i="11" s="1"/>
  <c r="S517" i="11"/>
  <c r="U517" i="11" s="1"/>
  <c r="S506" i="11"/>
  <c r="U506" i="11" s="1"/>
  <c r="S495" i="11"/>
  <c r="U495" i="11" s="1"/>
  <c r="S485" i="11"/>
  <c r="U485" i="11" s="1"/>
  <c r="S454" i="11"/>
  <c r="U454" i="11" s="1"/>
  <c r="S444" i="11"/>
  <c r="U444" i="11" s="1"/>
  <c r="S432" i="11"/>
  <c r="U432" i="11" s="1"/>
  <c r="S420" i="11"/>
  <c r="U420" i="11" s="1"/>
  <c r="S408" i="11"/>
  <c r="U408" i="11" s="1"/>
  <c r="S396" i="11"/>
  <c r="U396" i="11" s="1"/>
  <c r="S279" i="11"/>
  <c r="U279" i="11" s="1"/>
  <c r="S243" i="11"/>
  <c r="U243" i="11" s="1"/>
  <c r="S197" i="11"/>
  <c r="U197" i="11" s="1"/>
  <c r="S173" i="11"/>
  <c r="U173" i="11" s="1"/>
  <c r="S125" i="11"/>
  <c r="U125" i="11" s="1"/>
  <c r="S101" i="11"/>
  <c r="U101" i="11" s="1"/>
  <c r="S76" i="11"/>
  <c r="U76" i="11" s="1"/>
  <c r="S52" i="11"/>
  <c r="U52" i="11" s="1"/>
  <c r="S28" i="11"/>
  <c r="U28" i="11" s="1"/>
  <c r="S171" i="11"/>
  <c r="U171" i="11" s="1"/>
  <c r="S706" i="11"/>
  <c r="U706" i="11" s="1"/>
  <c r="S694" i="11"/>
  <c r="U694" i="11" s="1"/>
  <c r="S688" i="11"/>
  <c r="U688" i="11" s="1"/>
  <c r="S682" i="11"/>
  <c r="U682" i="11" s="1"/>
  <c r="S676" i="11"/>
  <c r="U676" i="11" s="1"/>
  <c r="S670" i="11"/>
  <c r="U670" i="11" s="1"/>
  <c r="S664" i="11"/>
  <c r="U664" i="11" s="1"/>
  <c r="S658" i="11"/>
  <c r="U658" i="11" s="1"/>
  <c r="S652" i="11"/>
  <c r="U652" i="11" s="1"/>
  <c r="S646" i="11"/>
  <c r="U646" i="11" s="1"/>
  <c r="S640" i="11"/>
  <c r="U640" i="11" s="1"/>
  <c r="S634" i="11"/>
  <c r="U634" i="11" s="1"/>
  <c r="S622" i="11"/>
  <c r="U622" i="11" s="1"/>
  <c r="S596" i="11"/>
  <c r="U596" i="11" s="1"/>
  <c r="S586" i="11"/>
  <c r="U586" i="11" s="1"/>
  <c r="S576" i="11"/>
  <c r="U576" i="11" s="1"/>
  <c r="S545" i="11"/>
  <c r="U545" i="11" s="1"/>
  <c r="S514" i="11"/>
  <c r="U514" i="11" s="1"/>
  <c r="S504" i="11"/>
  <c r="U504" i="11" s="1"/>
  <c r="S482" i="11"/>
  <c r="U482" i="11" s="1"/>
  <c r="S472" i="11"/>
  <c r="U472" i="11" s="1"/>
  <c r="S451" i="11"/>
  <c r="U451" i="11" s="1"/>
  <c r="S441" i="11"/>
  <c r="U441" i="11" s="1"/>
  <c r="S429" i="11"/>
  <c r="U429" i="11" s="1"/>
  <c r="S417" i="11"/>
  <c r="U417" i="11" s="1"/>
  <c r="S275" i="11"/>
  <c r="U275" i="11" s="1"/>
  <c r="S257" i="11"/>
  <c r="U257" i="11" s="1"/>
  <c r="S191" i="11"/>
  <c r="U191" i="11" s="1"/>
  <c r="S119" i="11"/>
  <c r="U119" i="11" s="1"/>
  <c r="S46" i="11"/>
  <c r="U46" i="11" s="1"/>
  <c r="S695" i="11"/>
  <c r="U695" i="11" s="1"/>
  <c r="S671" i="11"/>
  <c r="U671" i="11" s="1"/>
  <c r="S641" i="11"/>
  <c r="U641" i="11" s="1"/>
  <c r="S617" i="11"/>
  <c r="U617" i="11" s="1"/>
  <c r="S463" i="11"/>
  <c r="U463" i="11" s="1"/>
  <c r="S419" i="11"/>
  <c r="U419" i="11" s="1"/>
  <c r="S99" i="11"/>
  <c r="U99" i="11" s="1"/>
  <c r="S566" i="11"/>
  <c r="U566" i="11" s="1"/>
  <c r="S585" i="11"/>
  <c r="U585" i="11" s="1"/>
  <c r="S575" i="11"/>
  <c r="U575" i="11" s="1"/>
  <c r="S565" i="11"/>
  <c r="U565" i="11" s="1"/>
  <c r="S554" i="11"/>
  <c r="U554" i="11" s="1"/>
  <c r="S544" i="11"/>
  <c r="U544" i="11" s="1"/>
  <c r="S513" i="11"/>
  <c r="U513" i="11" s="1"/>
  <c r="S503" i="11"/>
  <c r="U503" i="11" s="1"/>
  <c r="S492" i="11"/>
  <c r="U492" i="11" s="1"/>
  <c r="S481" i="11"/>
  <c r="U481" i="11" s="1"/>
  <c r="S427" i="11"/>
  <c r="U427" i="11" s="1"/>
  <c r="S391" i="11"/>
  <c r="U391" i="11" s="1"/>
  <c r="S273" i="11"/>
  <c r="U273" i="11" s="1"/>
  <c r="S255" i="11"/>
  <c r="U255" i="11" s="1"/>
  <c r="S237" i="11"/>
  <c r="U237" i="11" s="1"/>
  <c r="S165" i="11"/>
  <c r="U165" i="11" s="1"/>
  <c r="S141" i="11"/>
  <c r="U141" i="11" s="1"/>
  <c r="S93" i="11"/>
  <c r="U93" i="11" s="1"/>
  <c r="S20" i="11"/>
  <c r="U20" i="11" s="1"/>
  <c r="S665" i="11"/>
  <c r="U665" i="11" s="1"/>
  <c r="S557" i="11"/>
  <c r="U557" i="11" s="1"/>
  <c r="S26" i="11"/>
  <c r="U26" i="11" s="1"/>
  <c r="S546" i="11"/>
  <c r="U546" i="11" s="1"/>
  <c r="S452" i="11"/>
  <c r="U452" i="11" s="1"/>
  <c r="S705" i="11"/>
  <c r="U705" i="11" s="1"/>
  <c r="S699" i="11"/>
  <c r="U699" i="11" s="1"/>
  <c r="S693" i="11"/>
  <c r="U693" i="11" s="1"/>
  <c r="S687" i="11"/>
  <c r="U687" i="11" s="1"/>
  <c r="S681" i="11"/>
  <c r="U681" i="11" s="1"/>
  <c r="S669" i="11"/>
  <c r="U669" i="11" s="1"/>
  <c r="S663" i="11"/>
  <c r="U663" i="11" s="1"/>
  <c r="S651" i="11"/>
  <c r="U651" i="11" s="1"/>
  <c r="S645" i="11"/>
  <c r="U645" i="11" s="1"/>
  <c r="S639" i="11"/>
  <c r="U639" i="11" s="1"/>
  <c r="S633" i="11"/>
  <c r="U633" i="11" s="1"/>
  <c r="S627" i="11"/>
  <c r="U627" i="11" s="1"/>
  <c r="S621" i="11"/>
  <c r="U621" i="11" s="1"/>
  <c r="S615" i="11"/>
  <c r="U615" i="11" s="1"/>
  <c r="S605" i="11"/>
  <c r="U605" i="11" s="1"/>
  <c r="S595" i="11"/>
  <c r="U595" i="11" s="1"/>
  <c r="S584" i="11"/>
  <c r="U584" i="11" s="1"/>
  <c r="S574" i="11"/>
  <c r="U574" i="11" s="1"/>
  <c r="S564" i="11"/>
  <c r="U564" i="11" s="1"/>
  <c r="S543" i="11"/>
  <c r="U543" i="11" s="1"/>
  <c r="S512" i="11"/>
  <c r="U512" i="11" s="1"/>
  <c r="S502" i="11"/>
  <c r="U502" i="11" s="1"/>
  <c r="S491" i="11"/>
  <c r="U491" i="11" s="1"/>
  <c r="S470" i="11"/>
  <c r="U470" i="11" s="1"/>
  <c r="S460" i="11"/>
  <c r="U460" i="11" s="1"/>
  <c r="S450" i="11"/>
  <c r="U450" i="11" s="1"/>
  <c r="S219" i="11"/>
  <c r="U219" i="11" s="1"/>
  <c r="S614" i="11"/>
  <c r="U614" i="11" s="1"/>
  <c r="S594" i="11"/>
  <c r="U594" i="11" s="1"/>
  <c r="S573" i="11"/>
  <c r="U573" i="11" s="1"/>
  <c r="S563" i="11"/>
  <c r="U563" i="11" s="1"/>
  <c r="S553" i="11"/>
  <c r="U553" i="11" s="1"/>
  <c r="S542" i="11"/>
  <c r="U542" i="11" s="1"/>
  <c r="S522" i="11"/>
  <c r="U522" i="11" s="1"/>
  <c r="S501" i="11"/>
  <c r="U501" i="11" s="1"/>
  <c r="S490" i="11"/>
  <c r="U490" i="11" s="1"/>
  <c r="S480" i="11"/>
  <c r="U480" i="11" s="1"/>
  <c r="S469" i="11"/>
  <c r="U469" i="11" s="1"/>
  <c r="S449" i="11"/>
  <c r="U449" i="11" s="1"/>
  <c r="S426" i="11"/>
  <c r="U426" i="11" s="1"/>
  <c r="S414" i="11"/>
  <c r="U414" i="11" s="1"/>
  <c r="S402" i="11"/>
  <c r="U402" i="11" s="1"/>
  <c r="S390" i="11"/>
  <c r="U390" i="11" s="1"/>
  <c r="S254" i="11"/>
  <c r="U254" i="11" s="1"/>
  <c r="S209" i="11"/>
  <c r="U209" i="11" s="1"/>
  <c r="S185" i="11"/>
  <c r="U185" i="11" s="1"/>
  <c r="S137" i="11"/>
  <c r="U137" i="11" s="1"/>
  <c r="S113" i="11"/>
  <c r="U113" i="11" s="1"/>
  <c r="S88" i="11"/>
  <c r="U88" i="11" s="1"/>
  <c r="S64" i="11"/>
  <c r="U64" i="11" s="1"/>
  <c r="S40" i="11"/>
  <c r="U40" i="11" s="1"/>
  <c r="S692" i="11"/>
  <c r="U692" i="11" s="1"/>
  <c r="S680" i="11"/>
  <c r="U680" i="11" s="1"/>
  <c r="S674" i="11"/>
  <c r="U674" i="11" s="1"/>
  <c r="S668" i="11"/>
  <c r="U668" i="11" s="1"/>
  <c r="S662" i="11"/>
  <c r="U662" i="11" s="1"/>
  <c r="S656" i="11"/>
  <c r="U656" i="11" s="1"/>
  <c r="S650" i="11"/>
  <c r="U650" i="11" s="1"/>
  <c r="S644" i="11"/>
  <c r="U644" i="11" s="1"/>
  <c r="S638" i="11"/>
  <c r="U638" i="11" s="1"/>
  <c r="S620" i="11"/>
  <c r="U620" i="11" s="1"/>
  <c r="S603" i="11"/>
  <c r="U603" i="11" s="1"/>
  <c r="S593" i="11"/>
  <c r="U593" i="11" s="1"/>
  <c r="S562" i="11"/>
  <c r="U562" i="11" s="1"/>
  <c r="S552" i="11"/>
  <c r="U552" i="11" s="1"/>
  <c r="S531" i="11"/>
  <c r="U531" i="11" s="1"/>
  <c r="S521" i="11"/>
  <c r="U521" i="11" s="1"/>
  <c r="S489" i="11"/>
  <c r="U489" i="11" s="1"/>
  <c r="S479" i="11"/>
  <c r="U479" i="11" s="1"/>
  <c r="S458" i="11"/>
  <c r="U458" i="11" s="1"/>
  <c r="S437" i="11"/>
  <c r="U437" i="11" s="1"/>
  <c r="S425" i="11"/>
  <c r="U425" i="11" s="1"/>
  <c r="S413" i="11"/>
  <c r="U413" i="11" s="1"/>
  <c r="S401" i="11"/>
  <c r="U401" i="11" s="1"/>
  <c r="S269" i="11"/>
  <c r="U269" i="11" s="1"/>
  <c r="S251" i="11"/>
  <c r="U251" i="11" s="1"/>
  <c r="S231" i="11"/>
  <c r="U231" i="11" s="1"/>
  <c r="S207" i="11"/>
  <c r="U207" i="11" s="1"/>
  <c r="S183" i="11"/>
  <c r="U183" i="11" s="1"/>
  <c r="S159" i="11"/>
  <c r="U159" i="11" s="1"/>
  <c r="S111" i="11"/>
  <c r="U111" i="11" s="1"/>
  <c r="S86" i="11"/>
  <c r="U86" i="11" s="1"/>
  <c r="S38" i="11"/>
  <c r="U38" i="11" s="1"/>
  <c r="S14" i="11"/>
  <c r="U14" i="11" s="1"/>
  <c r="S683" i="11"/>
  <c r="U683" i="11" s="1"/>
  <c r="S629" i="11"/>
  <c r="U629" i="11" s="1"/>
  <c r="S598" i="11"/>
  <c r="U598" i="11" s="1"/>
  <c r="S536" i="11"/>
  <c r="U536" i="11" s="1"/>
  <c r="S484" i="11"/>
  <c r="U484" i="11" s="1"/>
  <c r="S407" i="11"/>
  <c r="U407" i="11" s="1"/>
  <c r="S147" i="11"/>
  <c r="U147" i="11" s="1"/>
  <c r="S577" i="11"/>
  <c r="U577" i="11" s="1"/>
  <c r="S493" i="11"/>
  <c r="U493" i="11" s="1"/>
  <c r="S442" i="11"/>
  <c r="U442" i="11" s="1"/>
  <c r="S613" i="11"/>
  <c r="U613" i="11" s="1"/>
  <c r="S602" i="11"/>
  <c r="U602" i="11" s="1"/>
  <c r="S592" i="11"/>
  <c r="U592" i="11" s="1"/>
  <c r="S582" i="11"/>
  <c r="U582" i="11" s="1"/>
  <c r="S561" i="11"/>
  <c r="U561" i="11" s="1"/>
  <c r="S551" i="11"/>
  <c r="U551" i="11" s="1"/>
  <c r="S541" i="11"/>
  <c r="U541" i="11" s="1"/>
  <c r="S530" i="11"/>
  <c r="U530" i="11" s="1"/>
  <c r="S520" i="11"/>
  <c r="U520" i="11" s="1"/>
  <c r="S510" i="11"/>
  <c r="U510" i="11" s="1"/>
  <c r="S488" i="11"/>
  <c r="U488" i="11" s="1"/>
  <c r="S478" i="11"/>
  <c r="U478" i="11" s="1"/>
  <c r="S468" i="11"/>
  <c r="U468" i="11" s="1"/>
  <c r="S457" i="11"/>
  <c r="U457" i="11" s="1"/>
  <c r="S447" i="11"/>
  <c r="U447" i="11" s="1"/>
  <c r="S436" i="11"/>
  <c r="U436" i="11" s="1"/>
  <c r="S385" i="11"/>
  <c r="U385" i="11" s="1"/>
  <c r="S249" i="11"/>
  <c r="U249" i="11" s="1"/>
  <c r="S597" i="11"/>
  <c r="U597" i="11" s="1"/>
  <c r="S505" i="11"/>
  <c r="U505" i="11" s="1"/>
  <c r="S394" i="11"/>
  <c r="U394" i="11" s="1"/>
  <c r="S703" i="11"/>
  <c r="U703" i="11" s="1"/>
  <c r="S697" i="11"/>
  <c r="U697" i="11" s="1"/>
  <c r="S691" i="11"/>
  <c r="U691" i="11" s="1"/>
  <c r="S685" i="11"/>
  <c r="U685" i="11" s="1"/>
  <c r="S679" i="11"/>
  <c r="U679" i="11" s="1"/>
  <c r="S673" i="11"/>
  <c r="U673" i="11" s="1"/>
  <c r="S667" i="11"/>
  <c r="U667" i="11" s="1"/>
  <c r="S661" i="11"/>
  <c r="U661" i="11" s="1"/>
  <c r="S649" i="11"/>
  <c r="U649" i="11" s="1"/>
  <c r="S637" i="11"/>
  <c r="U637" i="11" s="1"/>
  <c r="S631" i="11"/>
  <c r="U631" i="11" s="1"/>
  <c r="S625" i="11"/>
  <c r="U625" i="11" s="1"/>
  <c r="S619" i="11"/>
  <c r="U619" i="11" s="1"/>
  <c r="S612" i="11"/>
  <c r="U612" i="11" s="1"/>
  <c r="S591" i="11"/>
  <c r="U591" i="11" s="1"/>
  <c r="S581" i="11"/>
  <c r="U581" i="11" s="1"/>
  <c r="S571" i="11"/>
  <c r="U571" i="11" s="1"/>
  <c r="S560" i="11"/>
  <c r="U560" i="11" s="1"/>
  <c r="S550" i="11"/>
  <c r="U550" i="11" s="1"/>
  <c r="S540" i="11"/>
  <c r="U540" i="11" s="1"/>
  <c r="S519" i="11"/>
  <c r="U519" i="11" s="1"/>
  <c r="S509" i="11"/>
  <c r="U509" i="11" s="1"/>
  <c r="S499" i="11"/>
  <c r="U499" i="11" s="1"/>
  <c r="S467" i="11"/>
  <c r="U467" i="11" s="1"/>
  <c r="S446" i="11"/>
  <c r="U446" i="11" s="1"/>
  <c r="S435" i="11"/>
  <c r="U435" i="11" s="1"/>
  <c r="S423" i="11"/>
  <c r="U423" i="11" s="1"/>
  <c r="S411" i="11"/>
  <c r="U411" i="11" s="1"/>
  <c r="S203" i="11"/>
  <c r="U203" i="11" s="1"/>
  <c r="S179" i="11"/>
  <c r="U179" i="11" s="1"/>
  <c r="S155" i="11"/>
  <c r="U155" i="11" s="1"/>
  <c r="S131" i="11"/>
  <c r="U131" i="11" s="1"/>
  <c r="S107" i="11"/>
  <c r="U107" i="11" s="1"/>
  <c r="S58" i="11"/>
  <c r="U58" i="11" s="1"/>
  <c r="S34" i="11"/>
  <c r="U34" i="11" s="1"/>
  <c r="S701" i="11"/>
  <c r="U701" i="11" s="1"/>
  <c r="S659" i="11"/>
  <c r="U659" i="11" s="1"/>
  <c r="S608" i="11"/>
  <c r="U608" i="11" s="1"/>
  <c r="S547" i="11"/>
  <c r="U547" i="11" s="1"/>
  <c r="S474" i="11"/>
  <c r="U474" i="11" s="1"/>
  <c r="S431" i="11"/>
  <c r="U431" i="11" s="1"/>
  <c r="S74" i="11"/>
  <c r="U74" i="11" s="1"/>
  <c r="S525" i="11"/>
  <c r="U525" i="11" s="1"/>
  <c r="S406" i="11"/>
  <c r="U406" i="11" s="1"/>
  <c r="S611" i="11"/>
  <c r="U611" i="11" s="1"/>
  <c r="S580" i="11"/>
  <c r="U580" i="11" s="1"/>
  <c r="S570" i="11"/>
  <c r="U570" i="11" s="1"/>
  <c r="S539" i="11"/>
  <c r="U539" i="11" s="1"/>
  <c r="S529" i="11"/>
  <c r="U529" i="11" s="1"/>
  <c r="S518" i="11"/>
  <c r="U518" i="11" s="1"/>
  <c r="S508" i="11"/>
  <c r="U508" i="11" s="1"/>
  <c r="S498" i="11"/>
  <c r="U498" i="11" s="1"/>
  <c r="S466" i="11"/>
  <c r="U466" i="11" s="1"/>
  <c r="S445" i="11"/>
  <c r="U445" i="11" s="1"/>
  <c r="S421" i="11"/>
  <c r="U421" i="11" s="1"/>
  <c r="S409" i="11"/>
  <c r="U409" i="11" s="1"/>
  <c r="S248" i="11"/>
  <c r="U248" i="11" s="1"/>
  <c r="S225" i="11"/>
  <c r="U225" i="11" s="1"/>
  <c r="S201" i="11"/>
  <c r="U201" i="11" s="1"/>
  <c r="S177" i="11"/>
  <c r="U177" i="11" s="1"/>
  <c r="S153" i="11"/>
  <c r="U153" i="11" s="1"/>
  <c r="S105" i="11"/>
  <c r="U105" i="11" s="1"/>
  <c r="S80" i="11"/>
  <c r="U80" i="11" s="1"/>
  <c r="S32" i="11"/>
  <c r="U32" i="11" s="1"/>
  <c r="S8" i="11"/>
  <c r="U8" i="11" s="1"/>
  <c r="S689" i="11"/>
  <c r="U689" i="11" s="1"/>
  <c r="S623" i="11"/>
  <c r="U623" i="11" s="1"/>
  <c r="S526" i="11"/>
  <c r="U526" i="11" s="1"/>
  <c r="S494" i="11"/>
  <c r="U494" i="11" s="1"/>
  <c r="S453" i="11"/>
  <c r="U453" i="11" s="1"/>
  <c r="S395" i="11"/>
  <c r="U395" i="11" s="1"/>
  <c r="S123" i="11"/>
  <c r="U123" i="11" s="1"/>
  <c r="S473" i="11"/>
  <c r="U473" i="11" s="1"/>
  <c r="S430" i="11"/>
  <c r="U430" i="11" s="1"/>
  <c r="S260" i="11"/>
  <c r="U260" i="11" s="1"/>
  <c r="S702" i="11"/>
  <c r="U702" i="11" s="1"/>
  <c r="S696" i="11"/>
  <c r="U696" i="11" s="1"/>
  <c r="S690" i="11"/>
  <c r="U690" i="11" s="1"/>
  <c r="S684" i="11"/>
  <c r="U684" i="11" s="1"/>
  <c r="S678" i="11"/>
  <c r="U678" i="11" s="1"/>
  <c r="S666" i="11"/>
  <c r="U666" i="11" s="1"/>
  <c r="S660" i="11"/>
  <c r="U660" i="11" s="1"/>
  <c r="S654" i="11"/>
  <c r="U654" i="11" s="1"/>
  <c r="S648" i="11"/>
  <c r="U648" i="11" s="1"/>
  <c r="S642" i="11"/>
  <c r="U642" i="11" s="1"/>
  <c r="S636" i="11"/>
  <c r="U636" i="11" s="1"/>
  <c r="S630" i="11"/>
  <c r="U630" i="11" s="1"/>
  <c r="S624" i="11"/>
  <c r="U624" i="11" s="1"/>
  <c r="S610" i="11"/>
  <c r="U610" i="11" s="1"/>
  <c r="S600" i="11"/>
  <c r="U600" i="11" s="1"/>
  <c r="S579" i="11"/>
  <c r="U579" i="11" s="1"/>
  <c r="S569" i="11"/>
  <c r="U569" i="11" s="1"/>
  <c r="S559" i="11"/>
  <c r="U559" i="11" s="1"/>
  <c r="S548" i="11"/>
  <c r="U548" i="11" s="1"/>
  <c r="S538" i="11"/>
  <c r="U538" i="11" s="1"/>
  <c r="S507" i="11"/>
  <c r="U507" i="11" s="1"/>
  <c r="S486" i="11"/>
  <c r="U486" i="11" s="1"/>
  <c r="S475" i="11"/>
  <c r="U475" i="11" s="1"/>
  <c r="S465" i="11"/>
  <c r="U465" i="11" s="1"/>
  <c r="S455" i="11"/>
  <c r="U455" i="11" s="1"/>
  <c r="S281" i="11"/>
  <c r="U281" i="11" s="1"/>
  <c r="S263" i="11"/>
  <c r="U263" i="11" s="1"/>
  <c r="S245" i="11"/>
  <c r="U245" i="11" s="1"/>
  <c r="S236" i="11"/>
  <c r="U236" i="11" s="1"/>
  <c r="S230" i="11"/>
  <c r="U230" i="11" s="1"/>
  <c r="S224" i="11"/>
  <c r="U224" i="11" s="1"/>
  <c r="S188" i="11"/>
  <c r="U188" i="11" s="1"/>
  <c r="S182" i="11"/>
  <c r="U182" i="11" s="1"/>
  <c r="S176" i="11"/>
  <c r="U176" i="11" s="1"/>
  <c r="S170" i="11"/>
  <c r="U170" i="11" s="1"/>
  <c r="S164" i="11"/>
  <c r="U164" i="11" s="1"/>
  <c r="S158" i="11"/>
  <c r="U158" i="11" s="1"/>
  <c r="S152" i="11"/>
  <c r="U152" i="11" s="1"/>
  <c r="S146" i="11"/>
  <c r="U146" i="11" s="1"/>
  <c r="S128" i="11"/>
  <c r="U128" i="11" s="1"/>
  <c r="S116" i="11"/>
  <c r="U116" i="11" s="1"/>
  <c r="S110" i="11"/>
  <c r="U110" i="11" s="1"/>
  <c r="S104" i="11"/>
  <c r="U104" i="11" s="1"/>
  <c r="S98" i="11"/>
  <c r="U98" i="11" s="1"/>
  <c r="S92" i="11"/>
  <c r="U92" i="11" s="1"/>
  <c r="S85" i="11"/>
  <c r="U85" i="11" s="1"/>
  <c r="S79" i="11"/>
  <c r="U79" i="11" s="1"/>
  <c r="S73" i="11"/>
  <c r="U73" i="11" s="1"/>
  <c r="S55" i="11"/>
  <c r="U55" i="11" s="1"/>
  <c r="S43" i="11"/>
  <c r="U43" i="11" s="1"/>
  <c r="S37" i="11"/>
  <c r="U37" i="11" s="1"/>
  <c r="S31" i="11"/>
  <c r="U31" i="11" s="1"/>
  <c r="S25" i="11"/>
  <c r="U25" i="11" s="1"/>
  <c r="S19" i="11"/>
  <c r="U19" i="11" s="1"/>
  <c r="S13" i="11"/>
  <c r="U13" i="11" s="1"/>
  <c r="S7" i="11"/>
  <c r="U7" i="11" s="1"/>
  <c r="S265" i="11"/>
  <c r="U265" i="11" s="1"/>
  <c r="S259" i="11"/>
  <c r="U259" i="11" s="1"/>
  <c r="S253" i="11"/>
  <c r="U253" i="11" s="1"/>
  <c r="S247" i="11"/>
  <c r="U247" i="11" s="1"/>
  <c r="S241" i="11"/>
  <c r="U241" i="11" s="1"/>
  <c r="S235" i="11"/>
  <c r="U235" i="11" s="1"/>
  <c r="S229" i="11"/>
  <c r="U229" i="11" s="1"/>
  <c r="S193" i="11"/>
  <c r="U193" i="11" s="1"/>
  <c r="S187" i="11"/>
  <c r="U187" i="11" s="1"/>
  <c r="S181" i="11"/>
  <c r="U181" i="11" s="1"/>
  <c r="S175" i="11"/>
  <c r="U175" i="11" s="1"/>
  <c r="S169" i="11"/>
  <c r="U169" i="11" s="1"/>
  <c r="S163" i="11"/>
  <c r="U163" i="11" s="1"/>
  <c r="S157" i="11"/>
  <c r="U157" i="11" s="1"/>
  <c r="S151" i="11"/>
  <c r="U151" i="11" s="1"/>
  <c r="S121" i="11"/>
  <c r="U121" i="11" s="1"/>
  <c r="S115" i="11"/>
  <c r="U115" i="11" s="1"/>
  <c r="S109" i="11"/>
  <c r="U109" i="11" s="1"/>
  <c r="S103" i="11"/>
  <c r="U103" i="11" s="1"/>
  <c r="S97" i="11"/>
  <c r="U97" i="11" s="1"/>
  <c r="S90" i="11"/>
  <c r="U90" i="11" s="1"/>
  <c r="S84" i="11"/>
  <c r="U84" i="11" s="1"/>
  <c r="S78" i="11"/>
  <c r="U78" i="11" s="1"/>
  <c r="S60" i="11"/>
  <c r="U60" i="11" s="1"/>
  <c r="S48" i="11"/>
  <c r="U48" i="11" s="1"/>
  <c r="S42" i="11"/>
  <c r="U42" i="11" s="1"/>
  <c r="S36" i="11"/>
  <c r="U36" i="11" s="1"/>
  <c r="S30" i="11"/>
  <c r="U30" i="11" s="1"/>
  <c r="S24" i="11"/>
  <c r="U24" i="11" s="1"/>
  <c r="S18" i="11"/>
  <c r="U18" i="11" s="1"/>
  <c r="S12" i="11"/>
  <c r="U12" i="11" s="1"/>
  <c r="S6" i="11"/>
  <c r="U6" i="11" s="1"/>
  <c r="S388" i="11"/>
  <c r="U388" i="11" s="1"/>
  <c r="S382" i="11"/>
  <c r="U382" i="11" s="1"/>
  <c r="S270" i="11"/>
  <c r="U270" i="11" s="1"/>
  <c r="S240" i="11"/>
  <c r="U240" i="11" s="1"/>
  <c r="S234" i="11"/>
  <c r="U234" i="11" s="1"/>
  <c r="S228" i="11"/>
  <c r="U228" i="11" s="1"/>
  <c r="S222" i="11"/>
  <c r="U222" i="11" s="1"/>
  <c r="S216" i="11"/>
  <c r="U216" i="11" s="1"/>
  <c r="S210" i="11"/>
  <c r="U210" i="11" s="1"/>
  <c r="S204" i="11"/>
  <c r="U204" i="11" s="1"/>
  <c r="S198" i="11"/>
  <c r="U198" i="11" s="1"/>
  <c r="S168" i="11"/>
  <c r="U168" i="11" s="1"/>
  <c r="S162" i="11"/>
  <c r="U162" i="11" s="1"/>
  <c r="S156" i="11"/>
  <c r="U156" i="11" s="1"/>
  <c r="S150" i="11"/>
  <c r="U150" i="11" s="1"/>
  <c r="S144" i="11"/>
  <c r="U144" i="11" s="1"/>
  <c r="S138" i="11"/>
  <c r="U138" i="11" s="1"/>
  <c r="S132" i="11"/>
  <c r="U132" i="11" s="1"/>
  <c r="S126" i="11"/>
  <c r="U126" i="11" s="1"/>
  <c r="S114" i="11"/>
  <c r="U114" i="11" s="1"/>
  <c r="S108" i="11"/>
  <c r="U108" i="11" s="1"/>
  <c r="S96" i="11"/>
  <c r="U96" i="11" s="1"/>
  <c r="S89" i="11"/>
  <c r="U89" i="11" s="1"/>
  <c r="S83" i="11"/>
  <c r="U83" i="11" s="1"/>
  <c r="S77" i="11"/>
  <c r="U77" i="11" s="1"/>
  <c r="S71" i="11"/>
  <c r="U71" i="11" s="1"/>
  <c r="S65" i="11"/>
  <c r="U65" i="11" s="1"/>
  <c r="S59" i="11"/>
  <c r="U59" i="11" s="1"/>
  <c r="S53" i="11"/>
  <c r="U53" i="11" s="1"/>
  <c r="S47" i="11"/>
  <c r="U47" i="11" s="1"/>
  <c r="S35" i="11"/>
  <c r="U35" i="11" s="1"/>
  <c r="S23" i="11"/>
  <c r="U23" i="11" s="1"/>
  <c r="S17" i="11"/>
  <c r="U17" i="11" s="1"/>
  <c r="S11" i="11"/>
  <c r="U11" i="11" s="1"/>
  <c r="S5" i="11"/>
  <c r="U5" i="11" s="1"/>
  <c r="S4" i="11"/>
  <c r="U4" i="11" s="1"/>
  <c r="S440" i="11"/>
  <c r="U440" i="11" s="1"/>
  <c r="S434" i="11"/>
  <c r="U434" i="11" s="1"/>
  <c r="S428" i="11"/>
  <c r="U428" i="11" s="1"/>
  <c r="S422" i="11"/>
  <c r="U422" i="11" s="1"/>
  <c r="S398" i="11"/>
  <c r="U398" i="11" s="1"/>
  <c r="S386" i="11"/>
  <c r="U386" i="11" s="1"/>
  <c r="S280" i="11"/>
  <c r="U280" i="11" s="1"/>
  <c r="S274" i="11"/>
  <c r="U274" i="11" s="1"/>
  <c r="S268" i="11"/>
  <c r="U268" i="11" s="1"/>
  <c r="S262" i="11"/>
  <c r="U262" i="11" s="1"/>
  <c r="S256" i="11"/>
  <c r="U256" i="11" s="1"/>
  <c r="S250" i="11"/>
  <c r="U250" i="11" s="1"/>
  <c r="S214" i="11"/>
  <c r="U214" i="11" s="1"/>
  <c r="S208" i="11"/>
  <c r="U208" i="11" s="1"/>
  <c r="S202" i="11"/>
  <c r="U202" i="11" s="1"/>
  <c r="S196" i="11"/>
  <c r="U196" i="11" s="1"/>
  <c r="S190" i="11"/>
  <c r="U190" i="11" s="1"/>
  <c r="S184" i="11"/>
  <c r="U184" i="11" s="1"/>
  <c r="S178" i="11"/>
  <c r="U178" i="11" s="1"/>
  <c r="S172" i="11"/>
  <c r="U172" i="11" s="1"/>
  <c r="S142" i="11"/>
  <c r="U142" i="11" s="1"/>
  <c r="S136" i="11"/>
  <c r="U136" i="11" s="1"/>
  <c r="S130" i="11"/>
  <c r="U130" i="11" s="1"/>
  <c r="S124" i="11"/>
  <c r="U124" i="11" s="1"/>
  <c r="S118" i="11"/>
  <c r="U118" i="11" s="1"/>
  <c r="S112" i="11"/>
  <c r="U112" i="11" s="1"/>
  <c r="S106" i="11"/>
  <c r="U106" i="11" s="1"/>
  <c r="S100" i="11"/>
  <c r="U100" i="11" s="1"/>
  <c r="S94" i="11"/>
  <c r="U94" i="11" s="1"/>
  <c r="S81" i="11"/>
  <c r="U81" i="11" s="1"/>
  <c r="S69" i="11"/>
  <c r="U69" i="11" s="1"/>
  <c r="S63" i="11"/>
  <c r="U63" i="11" s="1"/>
  <c r="S57" i="11"/>
  <c r="U57" i="11" s="1"/>
  <c r="S51" i="11"/>
  <c r="U51" i="11" s="1"/>
  <c r="S45" i="11"/>
  <c r="U45" i="11" s="1"/>
  <c r="S39" i="11"/>
  <c r="U39" i="11" s="1"/>
  <c r="S33" i="11"/>
  <c r="U33" i="11" s="1"/>
  <c r="S27" i="11"/>
  <c r="U27" i="11" s="1"/>
  <c r="S15" i="11"/>
  <c r="U15" i="11" s="1"/>
  <c r="S9" i="11"/>
  <c r="U9" i="11" s="1"/>
  <c r="S3" i="11"/>
  <c r="U3" i="11" s="1"/>
  <c r="S2" i="11"/>
  <c r="U2" i="11" s="1"/>
  <c r="P689" i="11"/>
  <c r="R689" i="11" s="1"/>
  <c r="T689" i="11" s="1"/>
  <c r="W689" i="11" s="1"/>
  <c r="P653" i="11"/>
  <c r="R653" i="11" s="1"/>
  <c r="T653" i="11" s="1"/>
  <c r="P623" i="11"/>
  <c r="R623" i="11" s="1"/>
  <c r="T623" i="11" s="1"/>
  <c r="P588" i="11"/>
  <c r="R588" i="11" s="1"/>
  <c r="T588" i="11" s="1"/>
  <c r="P484" i="11"/>
  <c r="R484" i="11" s="1"/>
  <c r="T484" i="11" s="1"/>
  <c r="P219" i="11"/>
  <c r="R219" i="11" s="1"/>
  <c r="T219" i="11" s="1"/>
  <c r="W219" i="11" s="1"/>
  <c r="P556" i="11"/>
  <c r="R556" i="11" s="1"/>
  <c r="T556" i="11" s="1"/>
  <c r="W556" i="11" s="1"/>
  <c r="P483" i="11"/>
  <c r="R483" i="11" s="1"/>
  <c r="T483" i="11" s="1"/>
  <c r="P609" i="11"/>
  <c r="R609" i="11" s="1"/>
  <c r="T609" i="11" s="1"/>
  <c r="P599" i="11"/>
  <c r="R599" i="11" s="1"/>
  <c r="T599" i="11" s="1"/>
  <c r="P589" i="11"/>
  <c r="R589" i="11" s="1"/>
  <c r="T589" i="11" s="1"/>
  <c r="P568" i="11"/>
  <c r="R568" i="11" s="1"/>
  <c r="T568" i="11" s="1"/>
  <c r="W568" i="11" s="1"/>
  <c r="P558" i="11"/>
  <c r="R558" i="11" s="1"/>
  <c r="T558" i="11" s="1"/>
  <c r="W558" i="11" s="1"/>
  <c r="P548" i="11"/>
  <c r="R548" i="11" s="1"/>
  <c r="T548" i="11" s="1"/>
  <c r="W548" i="11" s="1"/>
  <c r="P537" i="11"/>
  <c r="R537" i="11" s="1"/>
  <c r="T537" i="11" s="1"/>
  <c r="P527" i="11"/>
  <c r="R527" i="11" s="1"/>
  <c r="T527" i="11" s="1"/>
  <c r="W527" i="11" s="1"/>
  <c r="P517" i="11"/>
  <c r="R517" i="11" s="1"/>
  <c r="T517" i="11" s="1"/>
  <c r="W517" i="11" s="1"/>
  <c r="P495" i="11"/>
  <c r="R495" i="11" s="1"/>
  <c r="T495" i="11" s="1"/>
  <c r="W495" i="11" s="1"/>
  <c r="P485" i="11"/>
  <c r="R485" i="11" s="1"/>
  <c r="T485" i="11" s="1"/>
  <c r="W485" i="11" s="1"/>
  <c r="P472" i="11"/>
  <c r="R472" i="11" s="1"/>
  <c r="T472" i="11" s="1"/>
  <c r="W472" i="11" s="1"/>
  <c r="P455" i="11"/>
  <c r="R455" i="11" s="1"/>
  <c r="T455" i="11" s="1"/>
  <c r="P437" i="11"/>
  <c r="R437" i="11" s="1"/>
  <c r="T437" i="11" s="1"/>
  <c r="P415" i="11"/>
  <c r="R415" i="11" s="1"/>
  <c r="T415" i="11" s="1"/>
  <c r="P391" i="11"/>
  <c r="R391" i="11" s="1"/>
  <c r="T391" i="11" s="1"/>
  <c r="P701" i="11"/>
  <c r="R701" i="11" s="1"/>
  <c r="T701" i="11" s="1"/>
  <c r="W701" i="11" s="1"/>
  <c r="P677" i="11"/>
  <c r="R677" i="11" s="1"/>
  <c r="T677" i="11" s="1"/>
  <c r="W677" i="11" s="1"/>
  <c r="P647" i="11"/>
  <c r="R647" i="11" s="1"/>
  <c r="T647" i="11" s="1"/>
  <c r="P629" i="11"/>
  <c r="R629" i="11" s="1"/>
  <c r="T629" i="11" s="1"/>
  <c r="P547" i="11"/>
  <c r="R547" i="11" s="1"/>
  <c r="T547" i="11" s="1"/>
  <c r="P516" i="11"/>
  <c r="R516" i="11" s="1"/>
  <c r="T516" i="11" s="1"/>
  <c r="P454" i="11"/>
  <c r="R454" i="11" s="1"/>
  <c r="T454" i="11" s="1"/>
  <c r="W454" i="11" s="1"/>
  <c r="P74" i="11"/>
  <c r="R74" i="11" s="1"/>
  <c r="T74" i="11" s="1"/>
  <c r="W74" i="11" s="1"/>
  <c r="P577" i="11"/>
  <c r="R577" i="11" s="1"/>
  <c r="T577" i="11" s="1"/>
  <c r="P706" i="11"/>
  <c r="R706" i="11" s="1"/>
  <c r="T706" i="11" s="1"/>
  <c r="P700" i="11"/>
  <c r="R700" i="11" s="1"/>
  <c r="T700" i="11" s="1"/>
  <c r="P694" i="11"/>
  <c r="R694" i="11" s="1"/>
  <c r="T694" i="11" s="1"/>
  <c r="W694" i="11" s="1"/>
  <c r="P688" i="11"/>
  <c r="R688" i="11" s="1"/>
  <c r="T688" i="11" s="1"/>
  <c r="W688" i="11" s="1"/>
  <c r="P682" i="11"/>
  <c r="R682" i="11" s="1"/>
  <c r="T682" i="11" s="1"/>
  <c r="P676" i="11"/>
  <c r="R676" i="11" s="1"/>
  <c r="T676" i="11" s="1"/>
  <c r="W676" i="11" s="1"/>
  <c r="P670" i="11"/>
  <c r="R670" i="11" s="1"/>
  <c r="T670" i="11" s="1"/>
  <c r="P664" i="11"/>
  <c r="R664" i="11" s="1"/>
  <c r="T664" i="11" s="1"/>
  <c r="P658" i="11"/>
  <c r="R658" i="11" s="1"/>
  <c r="T658" i="11" s="1"/>
  <c r="W658" i="11" s="1"/>
  <c r="P652" i="11"/>
  <c r="R652" i="11" s="1"/>
  <c r="T652" i="11" s="1"/>
  <c r="W652" i="11" s="1"/>
  <c r="P646" i="11"/>
  <c r="R646" i="11" s="1"/>
  <c r="T646" i="11" s="1"/>
  <c r="P640" i="11"/>
  <c r="R640" i="11" s="1"/>
  <c r="T640" i="11" s="1"/>
  <c r="W640" i="11" s="1"/>
  <c r="P634" i="11"/>
  <c r="R634" i="11" s="1"/>
  <c r="T634" i="11" s="1"/>
  <c r="W634" i="11" s="1"/>
  <c r="P628" i="11"/>
  <c r="R628" i="11" s="1"/>
  <c r="T628" i="11" s="1"/>
  <c r="P622" i="11"/>
  <c r="R622" i="11" s="1"/>
  <c r="T622" i="11" s="1"/>
  <c r="P616" i="11"/>
  <c r="R616" i="11" s="1"/>
  <c r="T616" i="11" s="1"/>
  <c r="P607" i="11"/>
  <c r="R607" i="11" s="1"/>
  <c r="T607" i="11" s="1"/>
  <c r="P586" i="11"/>
  <c r="R586" i="11" s="1"/>
  <c r="T586" i="11" s="1"/>
  <c r="P576" i="11"/>
  <c r="R576" i="11" s="1"/>
  <c r="T576" i="11" s="1"/>
  <c r="W576" i="11" s="1"/>
  <c r="P566" i="11"/>
  <c r="R566" i="11" s="1"/>
  <c r="T566" i="11" s="1"/>
  <c r="W566" i="11" s="1"/>
  <c r="P555" i="11"/>
  <c r="R555" i="11" s="1"/>
  <c r="T555" i="11" s="1"/>
  <c r="P545" i="11"/>
  <c r="R545" i="11" s="1"/>
  <c r="T545" i="11" s="1"/>
  <c r="P535" i="11"/>
  <c r="R535" i="11" s="1"/>
  <c r="T535" i="11" s="1"/>
  <c r="P514" i="11"/>
  <c r="R514" i="11" s="1"/>
  <c r="T514" i="11" s="1"/>
  <c r="W514" i="11" s="1"/>
  <c r="P504" i="11"/>
  <c r="R504" i="11" s="1"/>
  <c r="T504" i="11" s="1"/>
  <c r="P493" i="11"/>
  <c r="R493" i="11" s="1"/>
  <c r="T493" i="11" s="1"/>
  <c r="W493" i="11" s="1"/>
  <c r="P468" i="11"/>
  <c r="R468" i="11" s="1"/>
  <c r="T468" i="11" s="1"/>
  <c r="W468" i="11" s="1"/>
  <c r="P451" i="11"/>
  <c r="R451" i="11" s="1"/>
  <c r="T451" i="11" s="1"/>
  <c r="P433" i="11"/>
  <c r="R433" i="11" s="1"/>
  <c r="T433" i="11" s="1"/>
  <c r="P409" i="11"/>
  <c r="R409" i="11" s="1"/>
  <c r="T409" i="11" s="1"/>
  <c r="P385" i="11"/>
  <c r="R385" i="11" s="1"/>
  <c r="T385" i="11" s="1"/>
  <c r="P249" i="11"/>
  <c r="R249" i="11" s="1"/>
  <c r="T249" i="11" s="1"/>
  <c r="P213" i="11"/>
  <c r="R213" i="11" s="1"/>
  <c r="T213" i="11" s="1"/>
  <c r="P177" i="11"/>
  <c r="R177" i="11" s="1"/>
  <c r="T177" i="11" s="1"/>
  <c r="P141" i="11"/>
  <c r="R141" i="11" s="1"/>
  <c r="T141" i="11" s="1"/>
  <c r="P105" i="11"/>
  <c r="R105" i="11" s="1"/>
  <c r="T105" i="11" s="1"/>
  <c r="W105" i="11" s="1"/>
  <c r="P68" i="11"/>
  <c r="R68" i="11" s="1"/>
  <c r="T68" i="11" s="1"/>
  <c r="P32" i="11"/>
  <c r="R32" i="11" s="1"/>
  <c r="T32" i="11" s="1"/>
  <c r="W32" i="11" s="1"/>
  <c r="P255" i="11"/>
  <c r="R255" i="11" s="1"/>
  <c r="T255" i="11" s="1"/>
  <c r="P597" i="11"/>
  <c r="R597" i="11" s="1"/>
  <c r="T597" i="11" s="1"/>
  <c r="P606" i="11"/>
  <c r="R606" i="11" s="1"/>
  <c r="T606" i="11" s="1"/>
  <c r="P596" i="11"/>
  <c r="R596" i="11" s="1"/>
  <c r="T596" i="11" s="1"/>
  <c r="W596" i="11" s="1"/>
  <c r="P585" i="11"/>
  <c r="R585" i="11" s="1"/>
  <c r="T585" i="11" s="1"/>
  <c r="W585" i="11" s="1"/>
  <c r="P575" i="11"/>
  <c r="R575" i="11" s="1"/>
  <c r="T575" i="11" s="1"/>
  <c r="W575" i="11" s="1"/>
  <c r="P565" i="11"/>
  <c r="R565" i="11" s="1"/>
  <c r="T565" i="11" s="1"/>
  <c r="W565" i="11" s="1"/>
  <c r="P544" i="11"/>
  <c r="R544" i="11" s="1"/>
  <c r="T544" i="11" s="1"/>
  <c r="W544" i="11" s="1"/>
  <c r="P534" i="11"/>
  <c r="R534" i="11" s="1"/>
  <c r="T534" i="11" s="1"/>
  <c r="P524" i="11"/>
  <c r="R524" i="11" s="1"/>
  <c r="T524" i="11" s="1"/>
  <c r="P513" i="11"/>
  <c r="R513" i="11" s="1"/>
  <c r="T513" i="11" s="1"/>
  <c r="P503" i="11"/>
  <c r="R503" i="11" s="1"/>
  <c r="T503" i="11" s="1"/>
  <c r="W503" i="11" s="1"/>
  <c r="P492" i="11"/>
  <c r="R492" i="11" s="1"/>
  <c r="T492" i="11" s="1"/>
  <c r="P481" i="11"/>
  <c r="R481" i="11" s="1"/>
  <c r="T481" i="11" s="1"/>
  <c r="W481" i="11" s="1"/>
  <c r="P467" i="11"/>
  <c r="R467" i="11" s="1"/>
  <c r="T467" i="11" s="1"/>
  <c r="W467" i="11" s="1"/>
  <c r="P449" i="11"/>
  <c r="R449" i="11" s="1"/>
  <c r="T449" i="11" s="1"/>
  <c r="W449" i="11" s="1"/>
  <c r="P431" i="11"/>
  <c r="R431" i="11" s="1"/>
  <c r="T431" i="11" s="1"/>
  <c r="P407" i="11"/>
  <c r="R407" i="11" s="1"/>
  <c r="T407" i="11" s="1"/>
  <c r="W407" i="11" s="1"/>
  <c r="P413" i="11"/>
  <c r="R413" i="11" s="1"/>
  <c r="T413" i="11" s="1"/>
  <c r="P705" i="11"/>
  <c r="R705" i="11" s="1"/>
  <c r="T705" i="11" s="1"/>
  <c r="W705" i="11" s="1"/>
  <c r="P699" i="11"/>
  <c r="R699" i="11" s="1"/>
  <c r="T699" i="11" s="1"/>
  <c r="W699" i="11" s="1"/>
  <c r="P693" i="11"/>
  <c r="R693" i="11" s="1"/>
  <c r="T693" i="11" s="1"/>
  <c r="W693" i="11" s="1"/>
  <c r="P687" i="11"/>
  <c r="R687" i="11" s="1"/>
  <c r="T687" i="11" s="1"/>
  <c r="P681" i="11"/>
  <c r="R681" i="11" s="1"/>
  <c r="T681" i="11" s="1"/>
  <c r="P675" i="11"/>
  <c r="R675" i="11" s="1"/>
  <c r="T675" i="11" s="1"/>
  <c r="P669" i="11"/>
  <c r="R669" i="11" s="1"/>
  <c r="T669" i="11" s="1"/>
  <c r="P663" i="11"/>
  <c r="R663" i="11" s="1"/>
  <c r="T663" i="11" s="1"/>
  <c r="W663" i="11" s="1"/>
  <c r="P657" i="11"/>
  <c r="R657" i="11" s="1"/>
  <c r="T657" i="11" s="1"/>
  <c r="P651" i="11"/>
  <c r="R651" i="11" s="1"/>
  <c r="T651" i="11" s="1"/>
  <c r="W651" i="11" s="1"/>
  <c r="P645" i="11"/>
  <c r="R645" i="11" s="1"/>
  <c r="T645" i="11" s="1"/>
  <c r="P639" i="11"/>
  <c r="R639" i="11" s="1"/>
  <c r="T639" i="11" s="1"/>
  <c r="W639" i="11" s="1"/>
  <c r="P633" i="11"/>
  <c r="R633" i="11" s="1"/>
  <c r="T633" i="11" s="1"/>
  <c r="W633" i="11" s="1"/>
  <c r="P627" i="11"/>
  <c r="R627" i="11" s="1"/>
  <c r="T627" i="11" s="1"/>
  <c r="W627" i="11" s="1"/>
  <c r="P621" i="11"/>
  <c r="R621" i="11" s="1"/>
  <c r="T621" i="11" s="1"/>
  <c r="W621" i="11" s="1"/>
  <c r="P615" i="11"/>
  <c r="R615" i="11" s="1"/>
  <c r="T615" i="11" s="1"/>
  <c r="W615" i="11" s="1"/>
  <c r="P605" i="11"/>
  <c r="R605" i="11" s="1"/>
  <c r="T605" i="11" s="1"/>
  <c r="P595" i="11"/>
  <c r="R595" i="11" s="1"/>
  <c r="T595" i="11" s="1"/>
  <c r="P574" i="11"/>
  <c r="R574" i="11" s="1"/>
  <c r="T574" i="11" s="1"/>
  <c r="P564" i="11"/>
  <c r="R564" i="11" s="1"/>
  <c r="T564" i="11" s="1"/>
  <c r="P554" i="11"/>
  <c r="R554" i="11" s="1"/>
  <c r="T554" i="11" s="1"/>
  <c r="P543" i="11"/>
  <c r="R543" i="11" s="1"/>
  <c r="T543" i="11" s="1"/>
  <c r="W543" i="11" s="1"/>
  <c r="P533" i="11"/>
  <c r="R533" i="11" s="1"/>
  <c r="T533" i="11" s="1"/>
  <c r="P523" i="11"/>
  <c r="R523" i="11" s="1"/>
  <c r="T523" i="11" s="1"/>
  <c r="P502" i="11"/>
  <c r="R502" i="11" s="1"/>
  <c r="T502" i="11" s="1"/>
  <c r="W502" i="11" s="1"/>
  <c r="P491" i="11"/>
  <c r="R491" i="11" s="1"/>
  <c r="T491" i="11" s="1"/>
  <c r="W491" i="11" s="1"/>
  <c r="P480" i="11"/>
  <c r="R480" i="11" s="1"/>
  <c r="T480" i="11" s="1"/>
  <c r="W480" i="11" s="1"/>
  <c r="P466" i="11"/>
  <c r="R466" i="11" s="1"/>
  <c r="T466" i="11" s="1"/>
  <c r="W466" i="11" s="1"/>
  <c r="P448" i="11"/>
  <c r="R448" i="11" s="1"/>
  <c r="T448" i="11" s="1"/>
  <c r="P279" i="11"/>
  <c r="R279" i="11" s="1"/>
  <c r="T279" i="11" s="1"/>
  <c r="W279" i="11" s="1"/>
  <c r="P243" i="11"/>
  <c r="R243" i="11" s="1"/>
  <c r="T243" i="11" s="1"/>
  <c r="W243" i="11" s="1"/>
  <c r="P207" i="11"/>
  <c r="R207" i="11" s="1"/>
  <c r="T207" i="11" s="1"/>
  <c r="P171" i="11"/>
  <c r="R171" i="11" s="1"/>
  <c r="T171" i="11" s="1"/>
  <c r="P135" i="11"/>
  <c r="R135" i="11" s="1"/>
  <c r="T135" i="11" s="1"/>
  <c r="P99" i="11"/>
  <c r="R99" i="11" s="1"/>
  <c r="T99" i="11" s="1"/>
  <c r="P62" i="11"/>
  <c r="R62" i="11" s="1"/>
  <c r="T62" i="11" s="1"/>
  <c r="P26" i="11"/>
  <c r="R26" i="11" s="1"/>
  <c r="T26" i="11" s="1"/>
  <c r="W26" i="11" s="1"/>
  <c r="P707" i="11"/>
  <c r="R707" i="11" s="1"/>
  <c r="T707" i="11" s="1"/>
  <c r="P683" i="11"/>
  <c r="R683" i="11" s="1"/>
  <c r="T683" i="11" s="1"/>
  <c r="W683" i="11" s="1"/>
  <c r="P641" i="11"/>
  <c r="R641" i="11" s="1"/>
  <c r="T641" i="11" s="1"/>
  <c r="W641" i="11" s="1"/>
  <c r="P617" i="11"/>
  <c r="R617" i="11" s="1"/>
  <c r="T617" i="11" s="1"/>
  <c r="P557" i="11"/>
  <c r="R557" i="11" s="1"/>
  <c r="T557" i="11" s="1"/>
  <c r="P506" i="11"/>
  <c r="R506" i="11" s="1"/>
  <c r="T506" i="11" s="1"/>
  <c r="W506" i="11" s="1"/>
  <c r="P183" i="11"/>
  <c r="R183" i="11" s="1"/>
  <c r="T183" i="11" s="1"/>
  <c r="W183" i="11" s="1"/>
  <c r="P546" i="11"/>
  <c r="R546" i="11" s="1"/>
  <c r="T546" i="11" s="1"/>
  <c r="P604" i="11"/>
  <c r="R604" i="11" s="1"/>
  <c r="T604" i="11" s="1"/>
  <c r="P594" i="11"/>
  <c r="R594" i="11" s="1"/>
  <c r="T594" i="11" s="1"/>
  <c r="W594" i="11" s="1"/>
  <c r="P584" i="11"/>
  <c r="R584" i="11" s="1"/>
  <c r="T584" i="11" s="1"/>
  <c r="W584" i="11" s="1"/>
  <c r="P573" i="11"/>
  <c r="R573" i="11" s="1"/>
  <c r="T573" i="11" s="1"/>
  <c r="W573" i="11" s="1"/>
  <c r="P563" i="11"/>
  <c r="R563" i="11" s="1"/>
  <c r="T563" i="11" s="1"/>
  <c r="W563" i="11" s="1"/>
  <c r="P553" i="11"/>
  <c r="R553" i="11" s="1"/>
  <c r="T553" i="11" s="1"/>
  <c r="W553" i="11" s="1"/>
  <c r="P532" i="11"/>
  <c r="R532" i="11" s="1"/>
  <c r="T532" i="11" s="1"/>
  <c r="P522" i="11"/>
  <c r="R522" i="11" s="1"/>
  <c r="T522" i="11" s="1"/>
  <c r="W522" i="11" s="1"/>
  <c r="P512" i="11"/>
  <c r="R512" i="11" s="1"/>
  <c r="T512" i="11" s="1"/>
  <c r="W512" i="11" s="1"/>
  <c r="P501" i="11"/>
  <c r="R501" i="11" s="1"/>
  <c r="T501" i="11" s="1"/>
  <c r="W501" i="11" s="1"/>
  <c r="P490" i="11"/>
  <c r="R490" i="11" s="1"/>
  <c r="T490" i="11" s="1"/>
  <c r="W490" i="11" s="1"/>
  <c r="P479" i="11"/>
  <c r="R479" i="11" s="1"/>
  <c r="T479" i="11" s="1"/>
  <c r="P427" i="11"/>
  <c r="R427" i="11" s="1"/>
  <c r="T427" i="11" s="1"/>
  <c r="W427" i="11" s="1"/>
  <c r="P403" i="11"/>
  <c r="R403" i="11" s="1"/>
  <c r="T403" i="11" s="1"/>
  <c r="P436" i="11"/>
  <c r="R436" i="11" s="1"/>
  <c r="T436" i="11" s="1"/>
  <c r="P704" i="11"/>
  <c r="R704" i="11" s="1"/>
  <c r="T704" i="11" s="1"/>
  <c r="P698" i="11"/>
  <c r="R698" i="11" s="1"/>
  <c r="T698" i="11" s="1"/>
  <c r="P692" i="11"/>
  <c r="R692" i="11" s="1"/>
  <c r="T692" i="11" s="1"/>
  <c r="W692" i="11" s="1"/>
  <c r="P686" i="11"/>
  <c r="R686" i="11" s="1"/>
  <c r="T686" i="11" s="1"/>
  <c r="P680" i="11"/>
  <c r="R680" i="11" s="1"/>
  <c r="T680" i="11" s="1"/>
  <c r="W680" i="11" s="1"/>
  <c r="P674" i="11"/>
  <c r="R674" i="11" s="1"/>
  <c r="T674" i="11" s="1"/>
  <c r="P668" i="11"/>
  <c r="R668" i="11" s="1"/>
  <c r="T668" i="11" s="1"/>
  <c r="W668" i="11" s="1"/>
  <c r="P662" i="11"/>
  <c r="R662" i="11" s="1"/>
  <c r="T662" i="11" s="1"/>
  <c r="P656" i="11"/>
  <c r="R656" i="11" s="1"/>
  <c r="T656" i="11" s="1"/>
  <c r="P650" i="11"/>
  <c r="R650" i="11" s="1"/>
  <c r="T650" i="11" s="1"/>
  <c r="P644" i="11"/>
  <c r="R644" i="11" s="1"/>
  <c r="T644" i="11" s="1"/>
  <c r="W644" i="11" s="1"/>
  <c r="P638" i="11"/>
  <c r="R638" i="11" s="1"/>
  <c r="T638" i="11" s="1"/>
  <c r="P632" i="11"/>
  <c r="R632" i="11" s="1"/>
  <c r="T632" i="11" s="1"/>
  <c r="P626" i="11"/>
  <c r="R626" i="11" s="1"/>
  <c r="T626" i="11" s="1"/>
  <c r="P620" i="11"/>
  <c r="R620" i="11" s="1"/>
  <c r="T620" i="11" s="1"/>
  <c r="W620" i="11" s="1"/>
  <c r="P614" i="11"/>
  <c r="R614" i="11" s="1"/>
  <c r="T614" i="11" s="1"/>
  <c r="P603" i="11"/>
  <c r="R603" i="11" s="1"/>
  <c r="T603" i="11" s="1"/>
  <c r="W603" i="11" s="1"/>
  <c r="P593" i="11"/>
  <c r="R593" i="11" s="1"/>
  <c r="T593" i="11" s="1"/>
  <c r="W593" i="11" s="1"/>
  <c r="P583" i="11"/>
  <c r="R583" i="11" s="1"/>
  <c r="T583" i="11" s="1"/>
  <c r="P562" i="11"/>
  <c r="R562" i="11" s="1"/>
  <c r="T562" i="11" s="1"/>
  <c r="P552" i="11"/>
  <c r="R552" i="11" s="1"/>
  <c r="T552" i="11" s="1"/>
  <c r="W552" i="11" s="1"/>
  <c r="P542" i="11"/>
  <c r="R542" i="11" s="1"/>
  <c r="T542" i="11" s="1"/>
  <c r="W542" i="11" s="1"/>
  <c r="P531" i="11"/>
  <c r="R531" i="11" s="1"/>
  <c r="T531" i="11" s="1"/>
  <c r="P521" i="11"/>
  <c r="R521" i="11" s="1"/>
  <c r="T521" i="11" s="1"/>
  <c r="P511" i="11"/>
  <c r="R511" i="11" s="1"/>
  <c r="T511" i="11" s="1"/>
  <c r="P489" i="11"/>
  <c r="R489" i="11" s="1"/>
  <c r="T489" i="11" s="1"/>
  <c r="P478" i="11"/>
  <c r="R478" i="11" s="1"/>
  <c r="T478" i="11" s="1"/>
  <c r="W478" i="11" s="1"/>
  <c r="P463" i="11"/>
  <c r="R463" i="11" s="1"/>
  <c r="T463" i="11" s="1"/>
  <c r="W463" i="11" s="1"/>
  <c r="P445" i="11"/>
  <c r="R445" i="11" s="1"/>
  <c r="T445" i="11" s="1"/>
  <c r="W445" i="11" s="1"/>
  <c r="P425" i="11"/>
  <c r="R425" i="11" s="1"/>
  <c r="T425" i="11" s="1"/>
  <c r="P401" i="11"/>
  <c r="R401" i="11" s="1"/>
  <c r="T401" i="11" s="1"/>
  <c r="P273" i="11"/>
  <c r="R273" i="11" s="1"/>
  <c r="T273" i="11" s="1"/>
  <c r="P237" i="11"/>
  <c r="R237" i="11" s="1"/>
  <c r="T237" i="11" s="1"/>
  <c r="P201" i="11"/>
  <c r="R201" i="11" s="1"/>
  <c r="T201" i="11" s="1"/>
  <c r="P165" i="11"/>
  <c r="R165" i="11" s="1"/>
  <c r="T165" i="11" s="1"/>
  <c r="P129" i="11"/>
  <c r="R129" i="11" s="1"/>
  <c r="T129" i="11" s="1"/>
  <c r="P93" i="11"/>
  <c r="R93" i="11" s="1"/>
  <c r="T93" i="11" s="1"/>
  <c r="W93" i="11" s="1"/>
  <c r="P56" i="11"/>
  <c r="R56" i="11" s="1"/>
  <c r="T56" i="11" s="1"/>
  <c r="P20" i="11"/>
  <c r="R20" i="11" s="1"/>
  <c r="T20" i="11" s="1"/>
  <c r="W20" i="11" s="1"/>
  <c r="P659" i="11"/>
  <c r="R659" i="11" s="1"/>
  <c r="T659" i="11" s="1"/>
  <c r="W659" i="11" s="1"/>
  <c r="P567" i="11"/>
  <c r="R567" i="11" s="1"/>
  <c r="T567" i="11" s="1"/>
  <c r="W567" i="11" s="1"/>
  <c r="P147" i="11"/>
  <c r="R147" i="11" s="1"/>
  <c r="T147" i="11" s="1"/>
  <c r="P608" i="11"/>
  <c r="R608" i="11" s="1"/>
  <c r="T608" i="11" s="1"/>
  <c r="P525" i="11"/>
  <c r="R525" i="11" s="1"/>
  <c r="T525" i="11" s="1"/>
  <c r="W525" i="11" s="1"/>
  <c r="P613" i="11"/>
  <c r="R613" i="11" s="1"/>
  <c r="T613" i="11" s="1"/>
  <c r="W613" i="11" s="1"/>
  <c r="P592" i="11"/>
  <c r="R592" i="11" s="1"/>
  <c r="T592" i="11" s="1"/>
  <c r="P582" i="11"/>
  <c r="R582" i="11" s="1"/>
  <c r="T582" i="11" s="1"/>
  <c r="P572" i="11"/>
  <c r="R572" i="11" s="1"/>
  <c r="T572" i="11" s="1"/>
  <c r="P561" i="11"/>
  <c r="R561" i="11" s="1"/>
  <c r="T561" i="11" s="1"/>
  <c r="W561" i="11" s="1"/>
  <c r="P551" i="11"/>
  <c r="R551" i="11" s="1"/>
  <c r="T551" i="11" s="1"/>
  <c r="W551" i="11" s="1"/>
  <c r="P541" i="11"/>
  <c r="R541" i="11" s="1"/>
  <c r="T541" i="11" s="1"/>
  <c r="P520" i="11"/>
  <c r="R520" i="11" s="1"/>
  <c r="T520" i="11" s="1"/>
  <c r="P510" i="11"/>
  <c r="R510" i="11" s="1"/>
  <c r="T510" i="11" s="1"/>
  <c r="W510" i="11" s="1"/>
  <c r="P500" i="11"/>
  <c r="R500" i="11" s="1"/>
  <c r="T500" i="11" s="1"/>
  <c r="P488" i="11"/>
  <c r="R488" i="11" s="1"/>
  <c r="T488" i="11" s="1"/>
  <c r="W488" i="11" s="1"/>
  <c r="P461" i="11"/>
  <c r="R461" i="11" s="1"/>
  <c r="T461" i="11" s="1"/>
  <c r="P443" i="11"/>
  <c r="R443" i="11" s="1"/>
  <c r="T443" i="11" s="1"/>
  <c r="P695" i="11"/>
  <c r="R695" i="11" s="1"/>
  <c r="T695" i="11" s="1"/>
  <c r="P671" i="11"/>
  <c r="R671" i="11" s="1"/>
  <c r="T671" i="11" s="1"/>
  <c r="P635" i="11"/>
  <c r="R635" i="11" s="1"/>
  <c r="T635" i="11" s="1"/>
  <c r="P598" i="11"/>
  <c r="R598" i="11" s="1"/>
  <c r="T598" i="11" s="1"/>
  <c r="P526" i="11"/>
  <c r="R526" i="11" s="1"/>
  <c r="T526" i="11" s="1"/>
  <c r="P494" i="11"/>
  <c r="R494" i="11" s="1"/>
  <c r="T494" i="11" s="1"/>
  <c r="P38" i="11"/>
  <c r="R38" i="11" s="1"/>
  <c r="T38" i="11" s="1"/>
  <c r="P587" i="11"/>
  <c r="R587" i="11" s="1"/>
  <c r="T587" i="11" s="1"/>
  <c r="P536" i="11"/>
  <c r="R536" i="11" s="1"/>
  <c r="T536" i="11" s="1"/>
  <c r="W536" i="11" s="1"/>
  <c r="P469" i="11"/>
  <c r="R469" i="11" s="1"/>
  <c r="T469" i="11" s="1"/>
  <c r="P703" i="11"/>
  <c r="R703" i="11" s="1"/>
  <c r="T703" i="11" s="1"/>
  <c r="P697" i="11"/>
  <c r="R697" i="11" s="1"/>
  <c r="T697" i="11" s="1"/>
  <c r="W697" i="11" s="1"/>
  <c r="P691" i="11"/>
  <c r="R691" i="11" s="1"/>
  <c r="T691" i="11" s="1"/>
  <c r="W691" i="11" s="1"/>
  <c r="P685" i="11"/>
  <c r="R685" i="11" s="1"/>
  <c r="T685" i="11" s="1"/>
  <c r="W685" i="11" s="1"/>
  <c r="P679" i="11"/>
  <c r="R679" i="11" s="1"/>
  <c r="T679" i="11" s="1"/>
  <c r="P673" i="11"/>
  <c r="R673" i="11" s="1"/>
  <c r="T673" i="11" s="1"/>
  <c r="W673" i="11" s="1"/>
  <c r="P667" i="11"/>
  <c r="R667" i="11" s="1"/>
  <c r="T667" i="11" s="1"/>
  <c r="P661" i="11"/>
  <c r="R661" i="11" s="1"/>
  <c r="T661" i="11" s="1"/>
  <c r="W661" i="11" s="1"/>
  <c r="P655" i="11"/>
  <c r="R655" i="11" s="1"/>
  <c r="T655" i="11" s="1"/>
  <c r="P649" i="11"/>
  <c r="R649" i="11" s="1"/>
  <c r="T649" i="11" s="1"/>
  <c r="P643" i="11"/>
  <c r="R643" i="11" s="1"/>
  <c r="T643" i="11" s="1"/>
  <c r="P637" i="11"/>
  <c r="R637" i="11" s="1"/>
  <c r="T637" i="11" s="1"/>
  <c r="W637" i="11" s="1"/>
  <c r="P631" i="11"/>
  <c r="R631" i="11" s="1"/>
  <c r="T631" i="11" s="1"/>
  <c r="P625" i="11"/>
  <c r="R625" i="11" s="1"/>
  <c r="T625" i="11" s="1"/>
  <c r="W625" i="11" s="1"/>
  <c r="P619" i="11"/>
  <c r="R619" i="11" s="1"/>
  <c r="T619" i="11" s="1"/>
  <c r="W619" i="11" s="1"/>
  <c r="P612" i="11"/>
  <c r="R612" i="11" s="1"/>
  <c r="T612" i="11" s="1"/>
  <c r="W612" i="11" s="1"/>
  <c r="P602" i="11"/>
  <c r="R602" i="11" s="1"/>
  <c r="T602" i="11" s="1"/>
  <c r="W602" i="11" s="1"/>
  <c r="P591" i="11"/>
  <c r="R591" i="11" s="1"/>
  <c r="T591" i="11" s="1"/>
  <c r="W591" i="11" s="1"/>
  <c r="P581" i="11"/>
  <c r="R581" i="11" s="1"/>
  <c r="T581" i="11" s="1"/>
  <c r="W581" i="11" s="1"/>
  <c r="P571" i="11"/>
  <c r="R571" i="11" s="1"/>
  <c r="T571" i="11" s="1"/>
  <c r="P550" i="11"/>
  <c r="R550" i="11" s="1"/>
  <c r="T550" i="11" s="1"/>
  <c r="P540" i="11"/>
  <c r="R540" i="11" s="1"/>
  <c r="T540" i="11" s="1"/>
  <c r="W540" i="11" s="1"/>
  <c r="P530" i="11"/>
  <c r="R530" i="11" s="1"/>
  <c r="T530" i="11" s="1"/>
  <c r="W530" i="11" s="1"/>
  <c r="P519" i="11"/>
  <c r="R519" i="11" s="1"/>
  <c r="T519" i="11" s="1"/>
  <c r="P509" i="11"/>
  <c r="R509" i="11" s="1"/>
  <c r="T509" i="11" s="1"/>
  <c r="W509" i="11" s="1"/>
  <c r="P499" i="11"/>
  <c r="R499" i="11" s="1"/>
  <c r="T499" i="11" s="1"/>
  <c r="P475" i="11"/>
  <c r="R475" i="11" s="1"/>
  <c r="T475" i="11" s="1"/>
  <c r="P460" i="11"/>
  <c r="R460" i="11" s="1"/>
  <c r="T460" i="11" s="1"/>
  <c r="P442" i="11"/>
  <c r="R442" i="11" s="1"/>
  <c r="T442" i="11" s="1"/>
  <c r="W442" i="11" s="1"/>
  <c r="P421" i="11"/>
  <c r="R421" i="11" s="1"/>
  <c r="T421" i="11" s="1"/>
  <c r="P397" i="11"/>
  <c r="R397" i="11" s="1"/>
  <c r="T397" i="11" s="1"/>
  <c r="P267" i="11"/>
  <c r="R267" i="11" s="1"/>
  <c r="T267" i="11" s="1"/>
  <c r="P231" i="11"/>
  <c r="R231" i="11" s="1"/>
  <c r="T231" i="11" s="1"/>
  <c r="P195" i="11"/>
  <c r="R195" i="11" s="1"/>
  <c r="T195" i="11" s="1"/>
  <c r="P159" i="11"/>
  <c r="R159" i="11" s="1"/>
  <c r="T159" i="11" s="1"/>
  <c r="P123" i="11"/>
  <c r="R123" i="11" s="1"/>
  <c r="T123" i="11" s="1"/>
  <c r="W123" i="11" s="1"/>
  <c r="P86" i="11"/>
  <c r="R86" i="11" s="1"/>
  <c r="T86" i="11" s="1"/>
  <c r="P50" i="11"/>
  <c r="R50" i="11" s="1"/>
  <c r="T50" i="11" s="1"/>
  <c r="W50" i="11" s="1"/>
  <c r="P14" i="11"/>
  <c r="R14" i="11" s="1"/>
  <c r="T14" i="11" s="1"/>
  <c r="W14" i="11" s="1"/>
  <c r="P389" i="11"/>
  <c r="R389" i="11" s="1"/>
  <c r="T389" i="11" s="1"/>
  <c r="P515" i="11"/>
  <c r="R515" i="11" s="1"/>
  <c r="T515" i="11" s="1"/>
  <c r="P611" i="11"/>
  <c r="R611" i="11" s="1"/>
  <c r="T611" i="11" s="1"/>
  <c r="W611" i="11" s="1"/>
  <c r="P601" i="11"/>
  <c r="R601" i="11" s="1"/>
  <c r="T601" i="11" s="1"/>
  <c r="P580" i="11"/>
  <c r="R580" i="11" s="1"/>
  <c r="T580" i="11" s="1"/>
  <c r="W580" i="11" s="1"/>
  <c r="P570" i="11"/>
  <c r="R570" i="11" s="1"/>
  <c r="T570" i="11" s="1"/>
  <c r="W570" i="11" s="1"/>
  <c r="P560" i="11"/>
  <c r="R560" i="11" s="1"/>
  <c r="T560" i="11" s="1"/>
  <c r="P549" i="11"/>
  <c r="R549" i="11" s="1"/>
  <c r="T549" i="11" s="1"/>
  <c r="P539" i="11"/>
  <c r="R539" i="11" s="1"/>
  <c r="T539" i="11" s="1"/>
  <c r="P529" i="11"/>
  <c r="R529" i="11" s="1"/>
  <c r="T529" i="11" s="1"/>
  <c r="P508" i="11"/>
  <c r="R508" i="11" s="1"/>
  <c r="T508" i="11" s="1"/>
  <c r="P498" i="11"/>
  <c r="R498" i="11" s="1"/>
  <c r="T498" i="11" s="1"/>
  <c r="W498" i="11" s="1"/>
  <c r="P487" i="11"/>
  <c r="R487" i="11" s="1"/>
  <c r="T487" i="11" s="1"/>
  <c r="P474" i="11"/>
  <c r="R474" i="11" s="1"/>
  <c r="T474" i="11" s="1"/>
  <c r="P419" i="11"/>
  <c r="R419" i="11" s="1"/>
  <c r="T419" i="11" s="1"/>
  <c r="W419" i="11" s="1"/>
  <c r="P395" i="11"/>
  <c r="R395" i="11" s="1"/>
  <c r="T395" i="11" s="1"/>
  <c r="P665" i="11"/>
  <c r="R665" i="11" s="1"/>
  <c r="T665" i="11" s="1"/>
  <c r="W665" i="11" s="1"/>
  <c r="P578" i="11"/>
  <c r="R578" i="11" s="1"/>
  <c r="T578" i="11" s="1"/>
  <c r="P111" i="11"/>
  <c r="R111" i="11" s="1"/>
  <c r="T111" i="11" s="1"/>
  <c r="P505" i="11"/>
  <c r="R505" i="11" s="1"/>
  <c r="T505" i="11" s="1"/>
  <c r="W505" i="11" s="1"/>
  <c r="P702" i="11"/>
  <c r="R702" i="11" s="1"/>
  <c r="T702" i="11" s="1"/>
  <c r="W702" i="11" s="1"/>
  <c r="P696" i="11"/>
  <c r="R696" i="11" s="1"/>
  <c r="T696" i="11" s="1"/>
  <c r="W696" i="11" s="1"/>
  <c r="P690" i="11"/>
  <c r="R690" i="11" s="1"/>
  <c r="T690" i="11" s="1"/>
  <c r="P684" i="11"/>
  <c r="R684" i="11" s="1"/>
  <c r="T684" i="11" s="1"/>
  <c r="P678" i="11"/>
  <c r="R678" i="11" s="1"/>
  <c r="T678" i="11" s="1"/>
  <c r="P672" i="11"/>
  <c r="R672" i="11" s="1"/>
  <c r="T672" i="11" s="1"/>
  <c r="P666" i="11"/>
  <c r="R666" i="11" s="1"/>
  <c r="T666" i="11" s="1"/>
  <c r="P660" i="11"/>
  <c r="R660" i="11" s="1"/>
  <c r="T660" i="11" s="1"/>
  <c r="W660" i="11" s="1"/>
  <c r="P654" i="11"/>
  <c r="R654" i="11" s="1"/>
  <c r="T654" i="11" s="1"/>
  <c r="W654" i="11" s="1"/>
  <c r="P648" i="11"/>
  <c r="R648" i="11" s="1"/>
  <c r="T648" i="11" s="1"/>
  <c r="W648" i="11" s="1"/>
  <c r="P642" i="11"/>
  <c r="R642" i="11" s="1"/>
  <c r="T642" i="11" s="1"/>
  <c r="P636" i="11"/>
  <c r="R636" i="11" s="1"/>
  <c r="T636" i="11" s="1"/>
  <c r="W636" i="11" s="1"/>
  <c r="P630" i="11"/>
  <c r="R630" i="11" s="1"/>
  <c r="T630" i="11" s="1"/>
  <c r="W630" i="11" s="1"/>
  <c r="P624" i="11"/>
  <c r="R624" i="11" s="1"/>
  <c r="T624" i="11" s="1"/>
  <c r="W624" i="11" s="1"/>
  <c r="P618" i="11"/>
  <c r="R618" i="11" s="1"/>
  <c r="T618" i="11" s="1"/>
  <c r="P610" i="11"/>
  <c r="R610" i="11" s="1"/>
  <c r="T610" i="11" s="1"/>
  <c r="P600" i="11"/>
  <c r="R600" i="11" s="1"/>
  <c r="T600" i="11" s="1"/>
  <c r="P590" i="11"/>
  <c r="R590" i="11" s="1"/>
  <c r="T590" i="11" s="1"/>
  <c r="P579" i="11"/>
  <c r="R579" i="11" s="1"/>
  <c r="T579" i="11" s="1"/>
  <c r="W579" i="11" s="1"/>
  <c r="P569" i="11"/>
  <c r="R569" i="11" s="1"/>
  <c r="T569" i="11" s="1"/>
  <c r="P559" i="11"/>
  <c r="R559" i="11" s="1"/>
  <c r="T559" i="11" s="1"/>
  <c r="W559" i="11" s="1"/>
  <c r="P538" i="11"/>
  <c r="R538" i="11" s="1"/>
  <c r="T538" i="11" s="1"/>
  <c r="W538" i="11" s="1"/>
  <c r="P528" i="11"/>
  <c r="R528" i="11" s="1"/>
  <c r="T528" i="11" s="1"/>
  <c r="P518" i="11"/>
  <c r="R518" i="11" s="1"/>
  <c r="T518" i="11" s="1"/>
  <c r="W518" i="11" s="1"/>
  <c r="P507" i="11"/>
  <c r="R507" i="11" s="1"/>
  <c r="T507" i="11" s="1"/>
  <c r="W507" i="11" s="1"/>
  <c r="P497" i="11"/>
  <c r="R497" i="11" s="1"/>
  <c r="T497" i="11" s="1"/>
  <c r="P486" i="11"/>
  <c r="R486" i="11" s="1"/>
  <c r="T486" i="11" s="1"/>
  <c r="W486" i="11" s="1"/>
  <c r="P473" i="11"/>
  <c r="R473" i="11" s="1"/>
  <c r="T473" i="11" s="1"/>
  <c r="W473" i="11" s="1"/>
  <c r="P457" i="11"/>
  <c r="R457" i="11" s="1"/>
  <c r="T457" i="11" s="1"/>
  <c r="W457" i="11" s="1"/>
  <c r="P439" i="11"/>
  <c r="R439" i="11" s="1"/>
  <c r="T439" i="11" s="1"/>
  <c r="P261" i="11"/>
  <c r="R261" i="11" s="1"/>
  <c r="T261" i="11" s="1"/>
  <c r="P225" i="11"/>
  <c r="R225" i="11" s="1"/>
  <c r="T225" i="11" s="1"/>
  <c r="P189" i="11"/>
  <c r="R189" i="11" s="1"/>
  <c r="T189" i="11" s="1"/>
  <c r="P153" i="11"/>
  <c r="R153" i="11" s="1"/>
  <c r="T153" i="11" s="1"/>
  <c r="P117" i="11"/>
  <c r="R117" i="11" s="1"/>
  <c r="T117" i="11" s="1"/>
  <c r="P80" i="11"/>
  <c r="R80" i="11" s="1"/>
  <c r="T80" i="11" s="1"/>
  <c r="W80" i="11" s="1"/>
  <c r="P44" i="11"/>
  <c r="R44" i="11" s="1"/>
  <c r="T44" i="11" s="1"/>
  <c r="P8" i="11"/>
  <c r="R8" i="11" s="1"/>
  <c r="T8" i="11" s="1"/>
  <c r="P462" i="11"/>
  <c r="R462" i="11" s="1"/>
  <c r="T462" i="11" s="1"/>
  <c r="P456" i="11"/>
  <c r="R456" i="11" s="1"/>
  <c r="T456" i="11" s="1"/>
  <c r="P450" i="11"/>
  <c r="R450" i="11" s="1"/>
  <c r="T450" i="11" s="1"/>
  <c r="P444" i="11"/>
  <c r="R444" i="11" s="1"/>
  <c r="T444" i="11" s="1"/>
  <c r="W444" i="11" s="1"/>
  <c r="P438" i="11"/>
  <c r="R438" i="11" s="1"/>
  <c r="T438" i="11" s="1"/>
  <c r="P432" i="11"/>
  <c r="R432" i="11" s="1"/>
  <c r="T432" i="11" s="1"/>
  <c r="P426" i="11"/>
  <c r="R426" i="11" s="1"/>
  <c r="T426" i="11" s="1"/>
  <c r="W426" i="11" s="1"/>
  <c r="P420" i="11"/>
  <c r="R420" i="11" s="1"/>
  <c r="T420" i="11" s="1"/>
  <c r="P414" i="11"/>
  <c r="R414" i="11" s="1"/>
  <c r="T414" i="11" s="1"/>
  <c r="P408" i="11"/>
  <c r="R408" i="11" s="1"/>
  <c r="T408" i="11" s="1"/>
  <c r="P402" i="11"/>
  <c r="R402" i="11" s="1"/>
  <c r="T402" i="11" s="1"/>
  <c r="P396" i="11"/>
  <c r="R396" i="11" s="1"/>
  <c r="T396" i="11" s="1"/>
  <c r="W396" i="11" s="1"/>
  <c r="P390" i="11"/>
  <c r="R390" i="11" s="1"/>
  <c r="T390" i="11" s="1"/>
  <c r="W390" i="11" s="1"/>
  <c r="P384" i="11"/>
  <c r="R384" i="11" s="1"/>
  <c r="T384" i="11" s="1"/>
  <c r="P278" i="11"/>
  <c r="R278" i="11" s="1"/>
  <c r="T278" i="11" s="1"/>
  <c r="P272" i="11"/>
  <c r="R272" i="11" s="1"/>
  <c r="T272" i="11" s="1"/>
  <c r="P266" i="11"/>
  <c r="R266" i="11" s="1"/>
  <c r="T266" i="11" s="1"/>
  <c r="P260" i="11"/>
  <c r="R260" i="11" s="1"/>
  <c r="T260" i="11" s="1"/>
  <c r="P254" i="11"/>
  <c r="R254" i="11" s="1"/>
  <c r="T254" i="11" s="1"/>
  <c r="P248" i="11"/>
  <c r="R248" i="11" s="1"/>
  <c r="T248" i="11" s="1"/>
  <c r="P242" i="11"/>
  <c r="R242" i="11" s="1"/>
  <c r="T242" i="11" s="1"/>
  <c r="P236" i="11"/>
  <c r="R236" i="11" s="1"/>
  <c r="T236" i="11" s="1"/>
  <c r="W236" i="11" s="1"/>
  <c r="P230" i="11"/>
  <c r="R230" i="11" s="1"/>
  <c r="T230" i="11" s="1"/>
  <c r="W230" i="11" s="1"/>
  <c r="P224" i="11"/>
  <c r="R224" i="11" s="1"/>
  <c r="T224" i="11" s="1"/>
  <c r="P218" i="11"/>
  <c r="R218" i="11" s="1"/>
  <c r="T218" i="11" s="1"/>
  <c r="P212" i="11"/>
  <c r="R212" i="11" s="1"/>
  <c r="T212" i="11" s="1"/>
  <c r="P206" i="11"/>
  <c r="R206" i="11" s="1"/>
  <c r="T206" i="11" s="1"/>
  <c r="P200" i="11"/>
  <c r="R200" i="11" s="1"/>
  <c r="T200" i="11" s="1"/>
  <c r="P194" i="11"/>
  <c r="R194" i="11" s="1"/>
  <c r="T194" i="11" s="1"/>
  <c r="P188" i="11"/>
  <c r="R188" i="11" s="1"/>
  <c r="T188" i="11" s="1"/>
  <c r="P182" i="11"/>
  <c r="R182" i="11" s="1"/>
  <c r="T182" i="11" s="1"/>
  <c r="P176" i="11"/>
  <c r="R176" i="11" s="1"/>
  <c r="T176" i="11" s="1"/>
  <c r="P170" i="11"/>
  <c r="R170" i="11" s="1"/>
  <c r="T170" i="11" s="1"/>
  <c r="P164" i="11"/>
  <c r="R164" i="11" s="1"/>
  <c r="T164" i="11" s="1"/>
  <c r="W164" i="11" s="1"/>
  <c r="P158" i="11"/>
  <c r="R158" i="11" s="1"/>
  <c r="T158" i="11" s="1"/>
  <c r="P152" i="11"/>
  <c r="R152" i="11" s="1"/>
  <c r="T152" i="11" s="1"/>
  <c r="P146" i="11"/>
  <c r="R146" i="11" s="1"/>
  <c r="T146" i="11" s="1"/>
  <c r="P140" i="11"/>
  <c r="R140" i="11" s="1"/>
  <c r="T140" i="11" s="1"/>
  <c r="P134" i="11"/>
  <c r="R134" i="11" s="1"/>
  <c r="T134" i="11" s="1"/>
  <c r="P128" i="11"/>
  <c r="R128" i="11" s="1"/>
  <c r="T128" i="11" s="1"/>
  <c r="P122" i="11"/>
  <c r="R122" i="11" s="1"/>
  <c r="T122" i="11" s="1"/>
  <c r="P116" i="11"/>
  <c r="R116" i="11" s="1"/>
  <c r="T116" i="11" s="1"/>
  <c r="P110" i="11"/>
  <c r="R110" i="11" s="1"/>
  <c r="T110" i="11" s="1"/>
  <c r="P104" i="11"/>
  <c r="R104" i="11" s="1"/>
  <c r="T104" i="11" s="1"/>
  <c r="W104" i="11" s="1"/>
  <c r="P98" i="11"/>
  <c r="R98" i="11" s="1"/>
  <c r="T98" i="11" s="1"/>
  <c r="P92" i="11"/>
  <c r="R92" i="11" s="1"/>
  <c r="T92" i="11" s="1"/>
  <c r="P85" i="11"/>
  <c r="R85" i="11" s="1"/>
  <c r="T85" i="11" s="1"/>
  <c r="W85" i="11" s="1"/>
  <c r="P79" i="11"/>
  <c r="R79" i="11" s="1"/>
  <c r="T79" i="11" s="1"/>
  <c r="P73" i="11"/>
  <c r="R73" i="11" s="1"/>
  <c r="T73" i="11" s="1"/>
  <c r="W73" i="11" s="1"/>
  <c r="P67" i="11"/>
  <c r="R67" i="11" s="1"/>
  <c r="T67" i="11" s="1"/>
  <c r="P61" i="11"/>
  <c r="R61" i="11" s="1"/>
  <c r="T61" i="11" s="1"/>
  <c r="P55" i="11"/>
  <c r="R55" i="11" s="1"/>
  <c r="T55" i="11" s="1"/>
  <c r="P49" i="11"/>
  <c r="R49" i="11" s="1"/>
  <c r="T49" i="11" s="1"/>
  <c r="P43" i="11"/>
  <c r="R43" i="11" s="1"/>
  <c r="T43" i="11" s="1"/>
  <c r="P37" i="11"/>
  <c r="R37" i="11" s="1"/>
  <c r="T37" i="11" s="1"/>
  <c r="P31" i="11"/>
  <c r="R31" i="11" s="1"/>
  <c r="T31" i="11" s="1"/>
  <c r="W31" i="11" s="1"/>
  <c r="P25" i="11"/>
  <c r="R25" i="11" s="1"/>
  <c r="T25" i="11" s="1"/>
  <c r="W25" i="11" s="1"/>
  <c r="P19" i="11"/>
  <c r="R19" i="11" s="1"/>
  <c r="T19" i="11" s="1"/>
  <c r="P13" i="11"/>
  <c r="R13" i="11" s="1"/>
  <c r="T13" i="11" s="1"/>
  <c r="P7" i="11"/>
  <c r="R7" i="11" s="1"/>
  <c r="T7" i="11" s="1"/>
  <c r="P383" i="11"/>
  <c r="R383" i="11" s="1"/>
  <c r="T383" i="11" s="1"/>
  <c r="P277" i="11"/>
  <c r="R277" i="11" s="1"/>
  <c r="T277" i="11" s="1"/>
  <c r="P271" i="11"/>
  <c r="R271" i="11" s="1"/>
  <c r="T271" i="11" s="1"/>
  <c r="P265" i="11"/>
  <c r="R265" i="11" s="1"/>
  <c r="T265" i="11" s="1"/>
  <c r="P259" i="11"/>
  <c r="R259" i="11" s="1"/>
  <c r="T259" i="11" s="1"/>
  <c r="W259" i="11" s="1"/>
  <c r="P253" i="11"/>
  <c r="R253" i="11" s="1"/>
  <c r="T253" i="11" s="1"/>
  <c r="W253" i="11" s="1"/>
  <c r="P247" i="11"/>
  <c r="R247" i="11" s="1"/>
  <c r="T247" i="11" s="1"/>
  <c r="W247" i="11" s="1"/>
  <c r="P241" i="11"/>
  <c r="R241" i="11" s="1"/>
  <c r="T241" i="11" s="1"/>
  <c r="W241" i="11" s="1"/>
  <c r="P235" i="11"/>
  <c r="R235" i="11" s="1"/>
  <c r="T235" i="11" s="1"/>
  <c r="W235" i="11" s="1"/>
  <c r="P229" i="11"/>
  <c r="R229" i="11" s="1"/>
  <c r="T229" i="11" s="1"/>
  <c r="P223" i="11"/>
  <c r="R223" i="11" s="1"/>
  <c r="T223" i="11" s="1"/>
  <c r="P217" i="11"/>
  <c r="R217" i="11" s="1"/>
  <c r="T217" i="11" s="1"/>
  <c r="P211" i="11"/>
  <c r="R211" i="11" s="1"/>
  <c r="T211" i="11" s="1"/>
  <c r="P205" i="11"/>
  <c r="R205" i="11" s="1"/>
  <c r="T205" i="11" s="1"/>
  <c r="P199" i="11"/>
  <c r="R199" i="11" s="1"/>
  <c r="T199" i="11" s="1"/>
  <c r="P193" i="11"/>
  <c r="R193" i="11" s="1"/>
  <c r="T193" i="11" s="1"/>
  <c r="P187" i="11"/>
  <c r="R187" i="11" s="1"/>
  <c r="T187" i="11" s="1"/>
  <c r="W187" i="11" s="1"/>
  <c r="P181" i="11"/>
  <c r="R181" i="11" s="1"/>
  <c r="T181" i="11" s="1"/>
  <c r="W181" i="11" s="1"/>
  <c r="P175" i="11"/>
  <c r="R175" i="11" s="1"/>
  <c r="T175" i="11" s="1"/>
  <c r="P169" i="11"/>
  <c r="R169" i="11" s="1"/>
  <c r="T169" i="11" s="1"/>
  <c r="P163" i="11"/>
  <c r="R163" i="11" s="1"/>
  <c r="T163" i="11" s="1"/>
  <c r="W163" i="11" s="1"/>
  <c r="P157" i="11"/>
  <c r="R157" i="11" s="1"/>
  <c r="T157" i="11" s="1"/>
  <c r="W157" i="11" s="1"/>
  <c r="P151" i="11"/>
  <c r="R151" i="11" s="1"/>
  <c r="T151" i="11" s="1"/>
  <c r="W151" i="11" s="1"/>
  <c r="P145" i="11"/>
  <c r="R145" i="11" s="1"/>
  <c r="T145" i="11" s="1"/>
  <c r="P139" i="11"/>
  <c r="R139" i="11" s="1"/>
  <c r="T139" i="11" s="1"/>
  <c r="P133" i="11"/>
  <c r="R133" i="11" s="1"/>
  <c r="T133" i="11" s="1"/>
  <c r="P127" i="11"/>
  <c r="R127" i="11" s="1"/>
  <c r="T127" i="11" s="1"/>
  <c r="P121" i="11"/>
  <c r="R121" i="11" s="1"/>
  <c r="T121" i="11" s="1"/>
  <c r="W121" i="11" s="1"/>
  <c r="P115" i="11"/>
  <c r="R115" i="11" s="1"/>
  <c r="T115" i="11" s="1"/>
  <c r="W115" i="11" s="1"/>
  <c r="P109" i="11"/>
  <c r="R109" i="11" s="1"/>
  <c r="T109" i="11" s="1"/>
  <c r="P103" i="11"/>
  <c r="R103" i="11" s="1"/>
  <c r="T103" i="11" s="1"/>
  <c r="W103" i="11" s="1"/>
  <c r="P97" i="11"/>
  <c r="R97" i="11" s="1"/>
  <c r="T97" i="11" s="1"/>
  <c r="W97" i="11" s="1"/>
  <c r="P90" i="11"/>
  <c r="R90" i="11" s="1"/>
  <c r="T90" i="11" s="1"/>
  <c r="P84" i="11"/>
  <c r="R84" i="11" s="1"/>
  <c r="T84" i="11" s="1"/>
  <c r="W84" i="11" s="1"/>
  <c r="P78" i="11"/>
  <c r="R78" i="11" s="1"/>
  <c r="T78" i="11" s="1"/>
  <c r="W78" i="11" s="1"/>
  <c r="P72" i="11"/>
  <c r="R72" i="11" s="1"/>
  <c r="T72" i="11" s="1"/>
  <c r="P66" i="11"/>
  <c r="R66" i="11" s="1"/>
  <c r="T66" i="11" s="1"/>
  <c r="P60" i="11"/>
  <c r="R60" i="11" s="1"/>
  <c r="T60" i="11" s="1"/>
  <c r="W60" i="11" s="1"/>
  <c r="P54" i="11"/>
  <c r="R54" i="11" s="1"/>
  <c r="T54" i="11" s="1"/>
  <c r="P48" i="11"/>
  <c r="R48" i="11" s="1"/>
  <c r="T48" i="11" s="1"/>
  <c r="W48" i="11" s="1"/>
  <c r="P42" i="11"/>
  <c r="R42" i="11" s="1"/>
  <c r="T42" i="11" s="1"/>
  <c r="W42" i="11" s="1"/>
  <c r="P36" i="11"/>
  <c r="R36" i="11" s="1"/>
  <c r="T36" i="11" s="1"/>
  <c r="W36" i="11" s="1"/>
  <c r="P30" i="11"/>
  <c r="R30" i="11" s="1"/>
  <c r="T30" i="11" s="1"/>
  <c r="W30" i="11" s="1"/>
  <c r="P24" i="11"/>
  <c r="R24" i="11" s="1"/>
  <c r="T24" i="11" s="1"/>
  <c r="P18" i="11"/>
  <c r="R18" i="11" s="1"/>
  <c r="T18" i="11" s="1"/>
  <c r="W18" i="11" s="1"/>
  <c r="P12" i="11"/>
  <c r="R12" i="11" s="1"/>
  <c r="T12" i="11" s="1"/>
  <c r="P6" i="11"/>
  <c r="R6" i="11" s="1"/>
  <c r="T6" i="11" s="1"/>
  <c r="W6" i="11" s="1"/>
  <c r="P430" i="11"/>
  <c r="R430" i="11" s="1"/>
  <c r="T430" i="11" s="1"/>
  <c r="P424" i="11"/>
  <c r="R424" i="11" s="1"/>
  <c r="T424" i="11" s="1"/>
  <c r="P418" i="11"/>
  <c r="R418" i="11" s="1"/>
  <c r="T418" i="11" s="1"/>
  <c r="P412" i="11"/>
  <c r="R412" i="11" s="1"/>
  <c r="T412" i="11" s="1"/>
  <c r="P406" i="11"/>
  <c r="R406" i="11" s="1"/>
  <c r="T406" i="11" s="1"/>
  <c r="P400" i="11"/>
  <c r="R400" i="11" s="1"/>
  <c r="T400" i="11" s="1"/>
  <c r="P394" i="11"/>
  <c r="R394" i="11" s="1"/>
  <c r="T394" i="11" s="1"/>
  <c r="P388" i="11"/>
  <c r="R388" i="11" s="1"/>
  <c r="T388" i="11" s="1"/>
  <c r="W388" i="11" s="1"/>
  <c r="P382" i="11"/>
  <c r="R382" i="11" s="1"/>
  <c r="T382" i="11" s="1"/>
  <c r="W382" i="11" s="1"/>
  <c r="P276" i="11"/>
  <c r="R276" i="11" s="1"/>
  <c r="T276" i="11" s="1"/>
  <c r="P270" i="11"/>
  <c r="R270" i="11" s="1"/>
  <c r="T270" i="11" s="1"/>
  <c r="P264" i="11"/>
  <c r="R264" i="11" s="1"/>
  <c r="T264" i="11" s="1"/>
  <c r="P258" i="11"/>
  <c r="R258" i="11" s="1"/>
  <c r="T258" i="11" s="1"/>
  <c r="P252" i="11"/>
  <c r="R252" i="11" s="1"/>
  <c r="T252" i="11" s="1"/>
  <c r="P246" i="11"/>
  <c r="R246" i="11" s="1"/>
  <c r="T246" i="11" s="1"/>
  <c r="P240" i="11"/>
  <c r="R240" i="11" s="1"/>
  <c r="T240" i="11" s="1"/>
  <c r="P234" i="11"/>
  <c r="R234" i="11" s="1"/>
  <c r="T234" i="11" s="1"/>
  <c r="P228" i="11"/>
  <c r="R228" i="11" s="1"/>
  <c r="T228" i="11" s="1"/>
  <c r="P222" i="11"/>
  <c r="R222" i="11" s="1"/>
  <c r="T222" i="11" s="1"/>
  <c r="P216" i="11"/>
  <c r="R216" i="11" s="1"/>
  <c r="T216" i="11" s="1"/>
  <c r="W216" i="11" s="1"/>
  <c r="P210" i="11"/>
  <c r="R210" i="11" s="1"/>
  <c r="T210" i="11" s="1"/>
  <c r="P204" i="11"/>
  <c r="R204" i="11" s="1"/>
  <c r="T204" i="11" s="1"/>
  <c r="P198" i="11"/>
  <c r="R198" i="11" s="1"/>
  <c r="T198" i="11" s="1"/>
  <c r="P192" i="11"/>
  <c r="R192" i="11" s="1"/>
  <c r="T192" i="11" s="1"/>
  <c r="P186" i="11"/>
  <c r="R186" i="11" s="1"/>
  <c r="T186" i="11" s="1"/>
  <c r="P180" i="11"/>
  <c r="R180" i="11" s="1"/>
  <c r="T180" i="11" s="1"/>
  <c r="P174" i="11"/>
  <c r="R174" i="11" s="1"/>
  <c r="T174" i="11" s="1"/>
  <c r="P168" i="11"/>
  <c r="R168" i="11" s="1"/>
  <c r="T168" i="11" s="1"/>
  <c r="P162" i="11"/>
  <c r="R162" i="11" s="1"/>
  <c r="T162" i="11" s="1"/>
  <c r="P156" i="11"/>
  <c r="R156" i="11" s="1"/>
  <c r="T156" i="11" s="1"/>
  <c r="P150" i="11"/>
  <c r="R150" i="11" s="1"/>
  <c r="T150" i="11" s="1"/>
  <c r="P144" i="11"/>
  <c r="R144" i="11" s="1"/>
  <c r="T144" i="11" s="1"/>
  <c r="P138" i="11"/>
  <c r="R138" i="11" s="1"/>
  <c r="T138" i="11" s="1"/>
  <c r="P132" i="11"/>
  <c r="R132" i="11" s="1"/>
  <c r="T132" i="11" s="1"/>
  <c r="P126" i="11"/>
  <c r="R126" i="11" s="1"/>
  <c r="T126" i="11" s="1"/>
  <c r="P120" i="11"/>
  <c r="R120" i="11" s="1"/>
  <c r="T120" i="11" s="1"/>
  <c r="P114" i="11"/>
  <c r="R114" i="11" s="1"/>
  <c r="T114" i="11" s="1"/>
  <c r="P108" i="11"/>
  <c r="R108" i="11" s="1"/>
  <c r="T108" i="11" s="1"/>
  <c r="P102" i="11"/>
  <c r="R102" i="11" s="1"/>
  <c r="T102" i="11" s="1"/>
  <c r="P96" i="11"/>
  <c r="R96" i="11" s="1"/>
  <c r="T96" i="11" s="1"/>
  <c r="W96" i="11" s="1"/>
  <c r="P89" i="11"/>
  <c r="R89" i="11" s="1"/>
  <c r="T89" i="11" s="1"/>
  <c r="W89" i="11" s="1"/>
  <c r="P83" i="11"/>
  <c r="R83" i="11" s="1"/>
  <c r="T83" i="11" s="1"/>
  <c r="W83" i="11" s="1"/>
  <c r="P77" i="11"/>
  <c r="R77" i="11" s="1"/>
  <c r="T77" i="11" s="1"/>
  <c r="P71" i="11"/>
  <c r="R71" i="11" s="1"/>
  <c r="T71" i="11" s="1"/>
  <c r="W71" i="11" s="1"/>
  <c r="P65" i="11"/>
  <c r="R65" i="11" s="1"/>
  <c r="T65" i="11" s="1"/>
  <c r="W65" i="11" s="1"/>
  <c r="P59" i="11"/>
  <c r="R59" i="11" s="1"/>
  <c r="T59" i="11" s="1"/>
  <c r="W59" i="11" s="1"/>
  <c r="P53" i="11"/>
  <c r="R53" i="11" s="1"/>
  <c r="T53" i="11" s="1"/>
  <c r="P47" i="11"/>
  <c r="R47" i="11" s="1"/>
  <c r="T47" i="11" s="1"/>
  <c r="P41" i="11"/>
  <c r="R41" i="11" s="1"/>
  <c r="T41" i="11" s="1"/>
  <c r="P35" i="11"/>
  <c r="R35" i="11" s="1"/>
  <c r="T35" i="11" s="1"/>
  <c r="P29" i="11"/>
  <c r="R29" i="11" s="1"/>
  <c r="T29" i="11" s="1"/>
  <c r="P23" i="11"/>
  <c r="R23" i="11" s="1"/>
  <c r="T23" i="11" s="1"/>
  <c r="W23" i="11" s="1"/>
  <c r="P17" i="11"/>
  <c r="R17" i="11" s="1"/>
  <c r="T17" i="11" s="1"/>
  <c r="W17" i="11" s="1"/>
  <c r="P11" i="11"/>
  <c r="R11" i="11" s="1"/>
  <c r="T11" i="11" s="1"/>
  <c r="W11" i="11" s="1"/>
  <c r="P5" i="11"/>
  <c r="R5" i="11" s="1"/>
  <c r="T5" i="11" s="1"/>
  <c r="P477" i="11"/>
  <c r="R477" i="11" s="1"/>
  <c r="T477" i="11" s="1"/>
  <c r="P471" i="11"/>
  <c r="R471" i="11" s="1"/>
  <c r="T471" i="11" s="1"/>
  <c r="P465" i="11"/>
  <c r="R465" i="11" s="1"/>
  <c r="T465" i="11" s="1"/>
  <c r="P459" i="11"/>
  <c r="R459" i="11" s="1"/>
  <c r="T459" i="11" s="1"/>
  <c r="P453" i="11"/>
  <c r="R453" i="11" s="1"/>
  <c r="T453" i="11" s="1"/>
  <c r="P447" i="11"/>
  <c r="R447" i="11" s="1"/>
  <c r="T447" i="11" s="1"/>
  <c r="P441" i="11"/>
  <c r="R441" i="11" s="1"/>
  <c r="T441" i="11" s="1"/>
  <c r="P435" i="11"/>
  <c r="R435" i="11" s="1"/>
  <c r="T435" i="11" s="1"/>
  <c r="W435" i="11" s="1"/>
  <c r="P429" i="11"/>
  <c r="R429" i="11" s="1"/>
  <c r="T429" i="11" s="1"/>
  <c r="W429" i="11" s="1"/>
  <c r="P423" i="11"/>
  <c r="R423" i="11" s="1"/>
  <c r="T423" i="11" s="1"/>
  <c r="P417" i="11"/>
  <c r="R417" i="11" s="1"/>
  <c r="T417" i="11" s="1"/>
  <c r="W417" i="11" s="1"/>
  <c r="P411" i="11"/>
  <c r="R411" i="11" s="1"/>
  <c r="T411" i="11" s="1"/>
  <c r="P405" i="11"/>
  <c r="R405" i="11" s="1"/>
  <c r="T405" i="11" s="1"/>
  <c r="P399" i="11"/>
  <c r="R399" i="11" s="1"/>
  <c r="T399" i="11" s="1"/>
  <c r="P393" i="11"/>
  <c r="R393" i="11" s="1"/>
  <c r="T393" i="11" s="1"/>
  <c r="P387" i="11"/>
  <c r="R387" i="11" s="1"/>
  <c r="T387" i="11" s="1"/>
  <c r="P281" i="11"/>
  <c r="R281" i="11" s="1"/>
  <c r="T281" i="11" s="1"/>
  <c r="P275" i="11"/>
  <c r="R275" i="11" s="1"/>
  <c r="T275" i="11" s="1"/>
  <c r="P269" i="11"/>
  <c r="R269" i="11" s="1"/>
  <c r="T269" i="11" s="1"/>
  <c r="P263" i="11"/>
  <c r="R263" i="11" s="1"/>
  <c r="T263" i="11" s="1"/>
  <c r="P257" i="11"/>
  <c r="R257" i="11" s="1"/>
  <c r="T257" i="11" s="1"/>
  <c r="W257" i="11" s="1"/>
  <c r="P251" i="11"/>
  <c r="R251" i="11" s="1"/>
  <c r="T251" i="11" s="1"/>
  <c r="P245" i="11"/>
  <c r="R245" i="11" s="1"/>
  <c r="T245" i="11" s="1"/>
  <c r="W245" i="11" s="1"/>
  <c r="P239" i="11"/>
  <c r="R239" i="11" s="1"/>
  <c r="T239" i="11" s="1"/>
  <c r="P233" i="11"/>
  <c r="R233" i="11" s="1"/>
  <c r="T233" i="11" s="1"/>
  <c r="P227" i="11"/>
  <c r="R227" i="11" s="1"/>
  <c r="T227" i="11" s="1"/>
  <c r="P221" i="11"/>
  <c r="R221" i="11" s="1"/>
  <c r="T221" i="11" s="1"/>
  <c r="P215" i="11"/>
  <c r="R215" i="11" s="1"/>
  <c r="T215" i="11" s="1"/>
  <c r="P209" i="11"/>
  <c r="R209" i="11" s="1"/>
  <c r="T209" i="11" s="1"/>
  <c r="W209" i="11" s="1"/>
  <c r="P203" i="11"/>
  <c r="R203" i="11" s="1"/>
  <c r="T203" i="11" s="1"/>
  <c r="P197" i="11"/>
  <c r="R197" i="11" s="1"/>
  <c r="T197" i="11" s="1"/>
  <c r="W197" i="11" s="1"/>
  <c r="P191" i="11"/>
  <c r="R191" i="11" s="1"/>
  <c r="T191" i="11" s="1"/>
  <c r="W191" i="11" s="1"/>
  <c r="P185" i="11"/>
  <c r="R185" i="11" s="1"/>
  <c r="T185" i="11" s="1"/>
  <c r="W185" i="11" s="1"/>
  <c r="P179" i="11"/>
  <c r="R179" i="11" s="1"/>
  <c r="T179" i="11" s="1"/>
  <c r="P173" i="11"/>
  <c r="R173" i="11" s="1"/>
  <c r="T173" i="11" s="1"/>
  <c r="W173" i="11" s="1"/>
  <c r="P167" i="11"/>
  <c r="R167" i="11" s="1"/>
  <c r="T167" i="11" s="1"/>
  <c r="P161" i="11"/>
  <c r="R161" i="11" s="1"/>
  <c r="T161" i="11" s="1"/>
  <c r="P155" i="11"/>
  <c r="R155" i="11" s="1"/>
  <c r="T155" i="11" s="1"/>
  <c r="P149" i="11"/>
  <c r="R149" i="11" s="1"/>
  <c r="T149" i="11" s="1"/>
  <c r="P143" i="11"/>
  <c r="R143" i="11" s="1"/>
  <c r="T143" i="11" s="1"/>
  <c r="P137" i="11"/>
  <c r="R137" i="11" s="1"/>
  <c r="T137" i="11" s="1"/>
  <c r="P131" i="11"/>
  <c r="R131" i="11" s="1"/>
  <c r="T131" i="11" s="1"/>
  <c r="P125" i="11"/>
  <c r="R125" i="11" s="1"/>
  <c r="T125" i="11" s="1"/>
  <c r="P119" i="11"/>
  <c r="R119" i="11" s="1"/>
  <c r="T119" i="11" s="1"/>
  <c r="P113" i="11"/>
  <c r="R113" i="11" s="1"/>
  <c r="T113" i="11" s="1"/>
  <c r="P107" i="11"/>
  <c r="R107" i="11" s="1"/>
  <c r="T107" i="11" s="1"/>
  <c r="W107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4" i="11"/>
  <c r="R64" i="11" s="1"/>
  <c r="T64" i="11" s="1"/>
  <c r="W64" i="11" s="1"/>
  <c r="P58" i="11"/>
  <c r="R58" i="11" s="1"/>
  <c r="T58" i="11" s="1"/>
  <c r="P52" i="11"/>
  <c r="R52" i="11" s="1"/>
  <c r="T52" i="11" s="1"/>
  <c r="P46" i="11"/>
  <c r="R46" i="11" s="1"/>
  <c r="T46" i="11" s="1"/>
  <c r="W46" i="11" s="1"/>
  <c r="P40" i="11"/>
  <c r="R40" i="11" s="1"/>
  <c r="T40" i="11" s="1"/>
  <c r="P34" i="11"/>
  <c r="R34" i="11" s="1"/>
  <c r="T34" i="11" s="1"/>
  <c r="W34" i="11" s="1"/>
  <c r="P28" i="11"/>
  <c r="R28" i="11" s="1"/>
  <c r="T28" i="11" s="1"/>
  <c r="W28" i="11" s="1"/>
  <c r="P22" i="11"/>
  <c r="R22" i="11" s="1"/>
  <c r="T22" i="11" s="1"/>
  <c r="P16" i="11"/>
  <c r="R16" i="11" s="1"/>
  <c r="T16" i="11" s="1"/>
  <c r="P10" i="11"/>
  <c r="R10" i="11" s="1"/>
  <c r="T10" i="11" s="1"/>
  <c r="P4" i="11"/>
  <c r="R4" i="11" s="1"/>
  <c r="T4" i="11" s="1"/>
  <c r="W4" i="11" s="1"/>
  <c r="P482" i="11"/>
  <c r="R482" i="11" s="1"/>
  <c r="T482" i="11" s="1"/>
  <c r="P476" i="11"/>
  <c r="R476" i="11" s="1"/>
  <c r="T476" i="11" s="1"/>
  <c r="P470" i="11"/>
  <c r="R470" i="11" s="1"/>
  <c r="T470" i="11" s="1"/>
  <c r="W470" i="11" s="1"/>
  <c r="P464" i="11"/>
  <c r="R464" i="11" s="1"/>
  <c r="T464" i="11" s="1"/>
  <c r="P458" i="11"/>
  <c r="R458" i="11" s="1"/>
  <c r="T458" i="11" s="1"/>
  <c r="W458" i="11" s="1"/>
  <c r="P452" i="11"/>
  <c r="R452" i="11" s="1"/>
  <c r="T452" i="11" s="1"/>
  <c r="P446" i="11"/>
  <c r="R446" i="11" s="1"/>
  <c r="T446" i="11" s="1"/>
  <c r="W446" i="11" s="1"/>
  <c r="P440" i="11"/>
  <c r="R440" i="11" s="1"/>
  <c r="T440" i="11" s="1"/>
  <c r="P434" i="11"/>
  <c r="R434" i="11" s="1"/>
  <c r="T434" i="11" s="1"/>
  <c r="W434" i="11" s="1"/>
  <c r="P428" i="11"/>
  <c r="R428" i="11" s="1"/>
  <c r="T428" i="11" s="1"/>
  <c r="W428" i="11" s="1"/>
  <c r="P422" i="11"/>
  <c r="R422" i="11" s="1"/>
  <c r="T422" i="11" s="1"/>
  <c r="P416" i="11"/>
  <c r="R416" i="11" s="1"/>
  <c r="T416" i="11" s="1"/>
  <c r="P410" i="11"/>
  <c r="R410" i="11" s="1"/>
  <c r="T410" i="11" s="1"/>
  <c r="P404" i="11"/>
  <c r="R404" i="11" s="1"/>
  <c r="T404" i="11" s="1"/>
  <c r="P398" i="11"/>
  <c r="R398" i="11" s="1"/>
  <c r="T398" i="11" s="1"/>
  <c r="P392" i="11"/>
  <c r="R392" i="11" s="1"/>
  <c r="T392" i="11" s="1"/>
  <c r="P386" i="11"/>
  <c r="R386" i="11" s="1"/>
  <c r="T386" i="11" s="1"/>
  <c r="P280" i="11"/>
  <c r="R280" i="11" s="1"/>
  <c r="T280" i="11" s="1"/>
  <c r="P274" i="11"/>
  <c r="R274" i="11" s="1"/>
  <c r="T274" i="11" s="1"/>
  <c r="W274" i="11" s="1"/>
  <c r="P268" i="11"/>
  <c r="R268" i="11" s="1"/>
  <c r="T268" i="11" s="1"/>
  <c r="P262" i="11"/>
  <c r="R262" i="11" s="1"/>
  <c r="T262" i="11" s="1"/>
  <c r="P256" i="11"/>
  <c r="R256" i="11" s="1"/>
  <c r="T256" i="11" s="1"/>
  <c r="P250" i="11"/>
  <c r="R250" i="11" s="1"/>
  <c r="T250" i="11" s="1"/>
  <c r="P244" i="11"/>
  <c r="R244" i="11" s="1"/>
  <c r="T244" i="11" s="1"/>
  <c r="P238" i="11"/>
  <c r="R238" i="11" s="1"/>
  <c r="T238" i="11" s="1"/>
  <c r="P232" i="11"/>
  <c r="R232" i="11" s="1"/>
  <c r="T232" i="11" s="1"/>
  <c r="P226" i="11"/>
  <c r="R226" i="11" s="1"/>
  <c r="T226" i="11" s="1"/>
  <c r="P220" i="11"/>
  <c r="R220" i="11" s="1"/>
  <c r="T220" i="11" s="1"/>
  <c r="P214" i="11"/>
  <c r="R214" i="11" s="1"/>
  <c r="T214" i="11" s="1"/>
  <c r="W214" i="11" s="1"/>
  <c r="P208" i="11"/>
  <c r="R208" i="11" s="1"/>
  <c r="T208" i="11" s="1"/>
  <c r="P202" i="11"/>
  <c r="R202" i="11" s="1"/>
  <c r="T202" i="11" s="1"/>
  <c r="P196" i="11"/>
  <c r="R196" i="11" s="1"/>
  <c r="T196" i="11" s="1"/>
  <c r="W196" i="11" s="1"/>
  <c r="P190" i="11"/>
  <c r="R190" i="11" s="1"/>
  <c r="T190" i="11" s="1"/>
  <c r="W190" i="11" s="1"/>
  <c r="P184" i="11"/>
  <c r="R184" i="11" s="1"/>
  <c r="T184" i="11" s="1"/>
  <c r="P178" i="11"/>
  <c r="R178" i="11" s="1"/>
  <c r="T178" i="11" s="1"/>
  <c r="P172" i="11"/>
  <c r="R172" i="11" s="1"/>
  <c r="T172" i="11" s="1"/>
  <c r="P166" i="11"/>
  <c r="R166" i="11" s="1"/>
  <c r="T166" i="11" s="1"/>
  <c r="P160" i="11"/>
  <c r="R160" i="11" s="1"/>
  <c r="T160" i="11" s="1"/>
  <c r="P154" i="11"/>
  <c r="R154" i="11" s="1"/>
  <c r="T154" i="11" s="1"/>
  <c r="P148" i="11"/>
  <c r="R148" i="11" s="1"/>
  <c r="T148" i="11" s="1"/>
  <c r="P142" i="11"/>
  <c r="R142" i="11" s="1"/>
  <c r="T142" i="11" s="1"/>
  <c r="W142" i="11" s="1"/>
  <c r="P136" i="11"/>
  <c r="R136" i="11" s="1"/>
  <c r="T136" i="11" s="1"/>
  <c r="P130" i="11"/>
  <c r="R130" i="11" s="1"/>
  <c r="T130" i="11" s="1"/>
  <c r="W130" i="11" s="1"/>
  <c r="P124" i="11"/>
  <c r="R124" i="11" s="1"/>
  <c r="T124" i="11" s="1"/>
  <c r="W124" i="11" s="1"/>
  <c r="P118" i="11"/>
  <c r="R118" i="11" s="1"/>
  <c r="T118" i="11" s="1"/>
  <c r="W118" i="11" s="1"/>
  <c r="P112" i="11"/>
  <c r="R112" i="11" s="1"/>
  <c r="T112" i="11" s="1"/>
  <c r="P106" i="11"/>
  <c r="R106" i="11" s="1"/>
  <c r="T106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W81" i="11" s="1"/>
  <c r="P75" i="11"/>
  <c r="R75" i="11" s="1"/>
  <c r="T75" i="11" s="1"/>
  <c r="P69" i="11"/>
  <c r="R69" i="11" s="1"/>
  <c r="T69" i="11" s="1"/>
  <c r="W69" i="11" s="1"/>
  <c r="P63" i="11"/>
  <c r="R63" i="11" s="1"/>
  <c r="T63" i="11" s="1"/>
  <c r="P57" i="11"/>
  <c r="R57" i="11" s="1"/>
  <c r="T57" i="11" s="1"/>
  <c r="W57" i="11" s="1"/>
  <c r="P51" i="11"/>
  <c r="R51" i="11" s="1"/>
  <c r="T51" i="11" s="1"/>
  <c r="W51" i="11" s="1"/>
  <c r="P45" i="11"/>
  <c r="R45" i="11" s="1"/>
  <c r="T45" i="11" s="1"/>
  <c r="W45" i="11" s="1"/>
  <c r="P39" i="11"/>
  <c r="R39" i="11" s="1"/>
  <c r="T39" i="11" s="1"/>
  <c r="P33" i="11"/>
  <c r="R33" i="11" s="1"/>
  <c r="T33" i="11" s="1"/>
  <c r="P27" i="11"/>
  <c r="R27" i="11" s="1"/>
  <c r="T27" i="11" s="1"/>
  <c r="P21" i="11"/>
  <c r="R21" i="11" s="1"/>
  <c r="T21" i="11" s="1"/>
  <c r="P15" i="11"/>
  <c r="R15" i="11" s="1"/>
  <c r="T15" i="11" s="1"/>
  <c r="P9" i="11"/>
  <c r="R9" i="11" s="1"/>
  <c r="T9" i="11" s="1"/>
  <c r="W9" i="11" s="1"/>
  <c r="P3" i="11"/>
  <c r="R3" i="11" s="1"/>
  <c r="T3" i="11" s="1"/>
  <c r="W3" i="11" s="1"/>
  <c r="P2" i="11"/>
  <c r="R2" i="11" s="1"/>
  <c r="T2" i="11" s="1"/>
  <c r="W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16" i="11" l="1"/>
  <c r="W233" i="11"/>
  <c r="W477" i="11"/>
  <c r="W175" i="11"/>
  <c r="W524" i="11"/>
  <c r="W109" i="11"/>
  <c r="W225" i="11"/>
  <c r="W569" i="11"/>
  <c r="W526" i="11"/>
  <c r="W56" i="11"/>
  <c r="W534" i="11"/>
  <c r="X534" i="11" s="1"/>
  <c r="W646" i="11"/>
  <c r="X646" i="11" s="1"/>
  <c r="W572" i="11"/>
  <c r="W521" i="11"/>
  <c r="W638" i="11"/>
  <c r="W523" i="11"/>
  <c r="W555" i="11"/>
  <c r="W704" i="11"/>
  <c r="W40" i="11"/>
  <c r="W61" i="11"/>
  <c r="W487" i="11"/>
  <c r="W671" i="11"/>
  <c r="W582" i="11"/>
  <c r="Y582" i="11" s="1"/>
  <c r="AA582" i="11" s="1"/>
  <c r="W531" i="11"/>
  <c r="AB531" i="11" s="1"/>
  <c r="W547" i="11"/>
  <c r="W67" i="11"/>
  <c r="W140" i="11"/>
  <c r="W610" i="11"/>
  <c r="W684" i="11"/>
  <c r="W695" i="11"/>
  <c r="W650" i="11"/>
  <c r="W135" i="11"/>
  <c r="W431" i="11"/>
  <c r="W629" i="11"/>
  <c r="W52" i="11"/>
  <c r="AB52" i="11" s="1"/>
  <c r="AD52" i="11" s="1"/>
  <c r="W66" i="11"/>
  <c r="Y66" i="11" s="1"/>
  <c r="AA66" i="11" s="1"/>
  <c r="W508" i="11"/>
  <c r="W656" i="11"/>
  <c r="W554" i="11"/>
  <c r="W647" i="11"/>
  <c r="W623" i="11"/>
  <c r="W72" i="11"/>
  <c r="W497" i="11"/>
  <c r="W606" i="11"/>
  <c r="W653" i="11"/>
  <c r="W15" i="11"/>
  <c r="W87" i="11"/>
  <c r="Y87" i="11" s="1"/>
  <c r="AA87" i="11" s="1"/>
  <c r="W476" i="11"/>
  <c r="AB476" i="11" s="1"/>
  <c r="AD476" i="11" s="1"/>
  <c r="W453" i="11"/>
  <c r="W13" i="11"/>
  <c r="W158" i="11"/>
  <c r="W539" i="11"/>
  <c r="W519" i="11"/>
  <c r="W608" i="11"/>
  <c r="W574" i="11"/>
  <c r="W669" i="11"/>
  <c r="W597" i="11"/>
  <c r="W616" i="11"/>
  <c r="W482" i="11"/>
  <c r="AB482" i="11" s="1"/>
  <c r="AD482" i="11" s="1"/>
  <c r="W12" i="11"/>
  <c r="Y12" i="11" s="1"/>
  <c r="AA12" i="11" s="1"/>
  <c r="W19" i="11"/>
  <c r="W92" i="11"/>
  <c r="W549" i="11"/>
  <c r="W159" i="11"/>
  <c r="W595" i="11"/>
  <c r="W675" i="11"/>
  <c r="W622" i="11"/>
  <c r="W632" i="11"/>
  <c r="W465" i="11"/>
  <c r="W132" i="11"/>
  <c r="W204" i="11"/>
  <c r="AB204" i="11" s="1"/>
  <c r="AD204" i="11" s="1"/>
  <c r="W90" i="11"/>
  <c r="Y90" i="11" s="1"/>
  <c r="AA90" i="11" s="1"/>
  <c r="W98" i="11"/>
  <c r="W170" i="11"/>
  <c r="W560" i="11"/>
  <c r="W649" i="11"/>
  <c r="W587" i="11"/>
  <c r="W617" i="11"/>
  <c r="W448" i="11"/>
  <c r="W666" i="11"/>
  <c r="W82" i="11"/>
  <c r="W24" i="11"/>
  <c r="W550" i="11"/>
  <c r="AB550" i="11" s="1"/>
  <c r="W655" i="11"/>
  <c r="Y655" i="11" s="1"/>
  <c r="AA655" i="11" s="1"/>
  <c r="W614" i="11"/>
  <c r="W687" i="11"/>
  <c r="W513" i="11"/>
  <c r="W504" i="11"/>
  <c r="W706" i="11"/>
  <c r="W484" i="11"/>
  <c r="W479" i="11"/>
  <c r="W234" i="11"/>
  <c r="W265" i="11"/>
  <c r="W263" i="11"/>
  <c r="W210" i="11"/>
  <c r="X210" i="11" s="1"/>
  <c r="W218" i="11"/>
  <c r="X218" i="11" s="1"/>
  <c r="W469" i="11"/>
  <c r="W471" i="11"/>
  <c r="W461" i="11"/>
  <c r="W138" i="11"/>
  <c r="W176" i="11"/>
  <c r="W144" i="11"/>
  <c r="W165" i="11"/>
  <c r="W211" i="11"/>
  <c r="W203" i="11"/>
  <c r="W229" i="11"/>
  <c r="W248" i="11"/>
  <c r="AB248" i="11" s="1"/>
  <c r="W231" i="11"/>
  <c r="X231" i="11" s="1"/>
  <c r="W251" i="11"/>
  <c r="W223" i="11"/>
  <c r="W451" i="11"/>
  <c r="W452" i="11"/>
  <c r="W450" i="11"/>
  <c r="W268" i="11"/>
  <c r="W418" i="11"/>
  <c r="W262" i="11"/>
  <c r="AB262" i="11" s="1"/>
  <c r="W260" i="11"/>
  <c r="AB260" i="11" s="1"/>
  <c r="W440" i="11"/>
  <c r="W436" i="11"/>
  <c r="Y436" i="11" s="1"/>
  <c r="AA436" i="11" s="1"/>
  <c r="W269" i="11"/>
  <c r="AB269" i="11" s="1"/>
  <c r="W405" i="11"/>
  <c r="AB405" i="11" s="1"/>
  <c r="W386" i="11"/>
  <c r="W433" i="11"/>
  <c r="AB433" i="11" s="1"/>
  <c r="AD433" i="11" s="1"/>
  <c r="W425" i="11"/>
  <c r="W414" i="11"/>
  <c r="W439" i="11"/>
  <c r="W398" i="11"/>
  <c r="X398" i="11" s="1"/>
  <c r="W273" i="11"/>
  <c r="AB273" i="11" s="1"/>
  <c r="W410" i="11"/>
  <c r="W391" i="11"/>
  <c r="Y391" i="11" s="1"/>
  <c r="AA391" i="11" s="1"/>
  <c r="W422" i="11"/>
  <c r="AB422" i="11" s="1"/>
  <c r="AD422" i="11" s="1"/>
  <c r="W420" i="11"/>
  <c r="X420" i="11" s="1"/>
  <c r="W394" i="11"/>
  <c r="AB394" i="11" s="1"/>
  <c r="W395" i="11"/>
  <c r="Y395" i="11" s="1"/>
  <c r="AA395" i="11" s="1"/>
  <c r="W217" i="11"/>
  <c r="W232" i="11"/>
  <c r="W242" i="11"/>
  <c r="AB242" i="11" s="1"/>
  <c r="W240" i="11"/>
  <c r="W278" i="11"/>
  <c r="AB278" i="11" s="1"/>
  <c r="W156" i="11"/>
  <c r="W177" i="11"/>
  <c r="AB177" i="11" s="1"/>
  <c r="W179" i="11"/>
  <c r="W162" i="11"/>
  <c r="AB162" i="11" s="1"/>
  <c r="AD162" i="11" s="1"/>
  <c r="W139" i="11"/>
  <c r="Y139" i="11" s="1"/>
  <c r="AA139" i="11" s="1"/>
  <c r="W171" i="11"/>
  <c r="AB171" i="11" s="1"/>
  <c r="W131" i="11"/>
  <c r="W145" i="11"/>
  <c r="AB145" i="11" s="1"/>
  <c r="AD145" i="11" s="1"/>
  <c r="W160" i="11"/>
  <c r="X160" i="11" s="1"/>
  <c r="W409" i="11"/>
  <c r="W412" i="11"/>
  <c r="X412" i="11" s="1"/>
  <c r="W228" i="11"/>
  <c r="AB228" i="11" s="1"/>
  <c r="W134" i="11"/>
  <c r="W206" i="11"/>
  <c r="X206" i="11" s="1"/>
  <c r="W133" i="11"/>
  <c r="W205" i="11"/>
  <c r="AB205" i="11" s="1"/>
  <c r="W277" i="11"/>
  <c r="X277" i="11" s="1"/>
  <c r="W212" i="11"/>
  <c r="W154" i="11"/>
  <c r="W226" i="11"/>
  <c r="W221" i="11"/>
  <c r="W276" i="11"/>
  <c r="AB276" i="11" s="1"/>
  <c r="W195" i="11"/>
  <c r="Y195" i="11" s="1"/>
  <c r="AA195" i="11" s="1"/>
  <c r="W227" i="11"/>
  <c r="X227" i="11" s="1"/>
  <c r="W169" i="11"/>
  <c r="W383" i="11"/>
  <c r="AB383" i="11" s="1"/>
  <c r="W404" i="11"/>
  <c r="AB404" i="11" s="1"/>
  <c r="W402" i="11"/>
  <c r="AB402" i="11" s="1"/>
  <c r="W408" i="11"/>
  <c r="AB408" i="11" s="1"/>
  <c r="AD408" i="11" s="1"/>
  <c r="W393" i="11"/>
  <c r="AB393" i="11" s="1"/>
  <c r="W399" i="11"/>
  <c r="AB399" i="11" s="1"/>
  <c r="W411" i="11"/>
  <c r="X411" i="11" s="1"/>
  <c r="W397" i="11"/>
  <c r="Y397" i="11" s="1"/>
  <c r="AA397" i="11" s="1"/>
  <c r="W421" i="11"/>
  <c r="AB421" i="11" s="1"/>
  <c r="AD421" i="11" s="1"/>
  <c r="W389" i="11"/>
  <c r="AB389" i="11" s="1"/>
  <c r="W403" i="11"/>
  <c r="X403" i="11" s="1"/>
  <c r="W146" i="11"/>
  <c r="W202" i="11"/>
  <c r="AB202" i="11" s="1"/>
  <c r="AD202" i="11" s="1"/>
  <c r="W193" i="11"/>
  <c r="W272" i="11"/>
  <c r="AB272" i="11" s="1"/>
  <c r="W168" i="11"/>
  <c r="Y168" i="11" s="1"/>
  <c r="AA168" i="11" s="1"/>
  <c r="W387" i="11"/>
  <c r="Y387" i="11" s="1"/>
  <c r="AA387" i="11" s="1"/>
  <c r="W459" i="11"/>
  <c r="AB459" i="11" s="1"/>
  <c r="AD459" i="11" s="1"/>
  <c r="W643" i="11"/>
  <c r="W500" i="11"/>
  <c r="W528" i="11"/>
  <c r="W642" i="11"/>
  <c r="W605" i="11"/>
  <c r="W681" i="11"/>
  <c r="W415" i="11"/>
  <c r="W589" i="11"/>
  <c r="W155" i="11"/>
  <c r="AB155" i="11" s="1"/>
  <c r="AD155" i="11" s="1"/>
  <c r="W686" i="11"/>
  <c r="X686" i="11" s="1"/>
  <c r="W532" i="11"/>
  <c r="W254" i="11"/>
  <c r="AB254" i="11" s="1"/>
  <c r="W609" i="11"/>
  <c r="W5" i="11"/>
  <c r="W77" i="11"/>
  <c r="W150" i="11"/>
  <c r="X150" i="11" s="1"/>
  <c r="W222" i="11"/>
  <c r="AB222" i="11" s="1"/>
  <c r="W489" i="11"/>
  <c r="W626" i="11"/>
  <c r="W698" i="11"/>
  <c r="W707" i="11"/>
  <c r="Y707" i="11" s="1"/>
  <c r="AA707" i="11" s="1"/>
  <c r="W141" i="11"/>
  <c r="AB141" i="11" s="1"/>
  <c r="W101" i="11"/>
  <c r="W49" i="11"/>
  <c r="W122" i="11"/>
  <c r="W194" i="11"/>
  <c r="Y194" i="11" s="1"/>
  <c r="AA194" i="11" s="1"/>
  <c r="W266" i="11"/>
  <c r="AB266" i="11" s="1"/>
  <c r="W438" i="11"/>
  <c r="AB438" i="11" s="1"/>
  <c r="AD438" i="11" s="1"/>
  <c r="W261" i="11"/>
  <c r="Y261" i="11" s="1"/>
  <c r="AA261" i="11" s="1"/>
  <c r="W598" i="11"/>
  <c r="W511" i="11"/>
  <c r="W545" i="11"/>
  <c r="W590" i="11"/>
  <c r="X590" i="11" s="1"/>
  <c r="W672" i="11"/>
  <c r="AB672" i="11" s="1"/>
  <c r="W474" i="11"/>
  <c r="W515" i="11"/>
  <c r="W635" i="11"/>
  <c r="W63" i="11"/>
  <c r="W136" i="11"/>
  <c r="X136" i="11" s="1"/>
  <c r="W208" i="11"/>
  <c r="AB208" i="11" s="1"/>
  <c r="W280" i="11"/>
  <c r="AB280" i="11" s="1"/>
  <c r="W54" i="11"/>
  <c r="W127" i="11"/>
  <c r="W199" i="11"/>
  <c r="W271" i="11"/>
  <c r="AB271" i="11" s="1"/>
  <c r="W460" i="11"/>
  <c r="X460" i="11" s="1"/>
  <c r="W664" i="11"/>
  <c r="W29" i="11"/>
  <c r="W102" i="11"/>
  <c r="W174" i="11"/>
  <c r="X174" i="11" s="1"/>
  <c r="W246" i="11"/>
  <c r="AB246" i="11" s="1"/>
  <c r="W384" i="11"/>
  <c r="X384" i="11" s="1"/>
  <c r="W592" i="11"/>
  <c r="W604" i="11"/>
  <c r="W75" i="11"/>
  <c r="W148" i="11"/>
  <c r="W220" i="11"/>
  <c r="AB220" i="11" s="1"/>
  <c r="W392" i="11"/>
  <c r="AB392" i="11" s="1"/>
  <c r="W464" i="11"/>
  <c r="W424" i="11"/>
  <c r="AB424" i="11" s="1"/>
  <c r="AD424" i="11" s="1"/>
  <c r="W499" i="11"/>
  <c r="W443" i="11"/>
  <c r="W275" i="11"/>
  <c r="AB275" i="11" s="1"/>
  <c r="W447" i="11"/>
  <c r="W430" i="11"/>
  <c r="AB430" i="11" s="1"/>
  <c r="AD430" i="11" s="1"/>
  <c r="W7" i="11"/>
  <c r="W79" i="11"/>
  <c r="W152" i="11"/>
  <c r="W224" i="11"/>
  <c r="AB224" i="11" s="1"/>
  <c r="W8" i="11"/>
  <c r="AB8" i="11" s="1"/>
  <c r="AD8" i="11" s="1"/>
  <c r="W529" i="11"/>
  <c r="W631" i="11"/>
  <c r="W703" i="11"/>
  <c r="W207" i="11"/>
  <c r="AB51" i="11"/>
  <c r="AD51" i="11" s="1"/>
  <c r="Y51" i="11"/>
  <c r="AB124" i="11"/>
  <c r="AD124" i="11" s="1"/>
  <c r="Y124" i="11"/>
  <c r="AB196" i="11"/>
  <c r="AD196" i="11" s="1"/>
  <c r="Y196" i="11"/>
  <c r="AB268" i="11"/>
  <c r="Y268" i="11"/>
  <c r="AA268" i="11" s="1"/>
  <c r="AB440" i="11"/>
  <c r="AD440" i="11" s="1"/>
  <c r="Y440" i="11"/>
  <c r="AA440" i="11" s="1"/>
  <c r="AB28" i="11"/>
  <c r="AD28" i="11" s="1"/>
  <c r="Y28" i="11"/>
  <c r="AA28" i="11" s="1"/>
  <c r="AB101" i="11"/>
  <c r="AD101" i="11" s="1"/>
  <c r="Y101" i="11"/>
  <c r="AB173" i="11"/>
  <c r="Y173" i="11"/>
  <c r="AB245" i="11"/>
  <c r="Y245" i="11"/>
  <c r="AB417" i="11"/>
  <c r="AD417" i="11" s="1"/>
  <c r="Y417" i="11"/>
  <c r="AA417" i="11" s="1"/>
  <c r="AB11" i="11"/>
  <c r="AD11" i="11" s="1"/>
  <c r="Y11" i="11"/>
  <c r="AA11" i="11" s="1"/>
  <c r="AB83" i="11"/>
  <c r="AD83" i="11" s="1"/>
  <c r="Y83" i="11"/>
  <c r="AA83" i="11" s="1"/>
  <c r="AB156" i="11"/>
  <c r="AD156" i="11" s="1"/>
  <c r="Y156" i="11"/>
  <c r="AA156" i="11" s="1"/>
  <c r="AB42" i="11"/>
  <c r="AD42" i="11" s="1"/>
  <c r="Y42" i="11"/>
  <c r="AB115" i="11"/>
  <c r="AD115" i="11" s="1"/>
  <c r="Y115" i="11"/>
  <c r="AA115" i="11" s="1"/>
  <c r="AB187" i="11"/>
  <c r="Y187" i="11"/>
  <c r="AA187" i="11" s="1"/>
  <c r="AB259" i="11"/>
  <c r="Y259" i="11"/>
  <c r="AA259" i="11" s="1"/>
  <c r="AB49" i="11"/>
  <c r="AD49" i="11" s="1"/>
  <c r="Y49" i="11"/>
  <c r="AB122" i="11"/>
  <c r="AD122" i="11" s="1"/>
  <c r="Y122" i="11"/>
  <c r="AB579" i="11"/>
  <c r="Y579" i="11"/>
  <c r="AB666" i="11"/>
  <c r="Y666" i="11"/>
  <c r="AB419" i="11"/>
  <c r="AD419" i="11" s="1"/>
  <c r="Y419" i="11"/>
  <c r="AB611" i="11"/>
  <c r="Y611" i="11"/>
  <c r="AA611" i="11" s="1"/>
  <c r="AB591" i="11"/>
  <c r="Y591" i="11"/>
  <c r="AA591" i="11" s="1"/>
  <c r="AB673" i="11"/>
  <c r="Y673" i="11"/>
  <c r="AB598" i="11"/>
  <c r="Y598" i="11"/>
  <c r="AB561" i="11"/>
  <c r="Y561" i="11"/>
  <c r="AB93" i="11"/>
  <c r="AD93" i="11" s="1"/>
  <c r="Y93" i="11"/>
  <c r="AA93" i="11" s="1"/>
  <c r="Y511" i="11"/>
  <c r="AB511" i="11"/>
  <c r="AB632" i="11"/>
  <c r="Y632" i="11"/>
  <c r="AA632" i="11" s="1"/>
  <c r="AB704" i="11"/>
  <c r="Y704" i="11"/>
  <c r="AB573" i="11"/>
  <c r="Y573" i="11"/>
  <c r="Y26" i="11"/>
  <c r="AB26" i="11"/>
  <c r="AD26" i="11" s="1"/>
  <c r="AB502" i="11"/>
  <c r="Y502" i="11"/>
  <c r="AA502" i="11" s="1"/>
  <c r="AB633" i="11"/>
  <c r="Y633" i="11"/>
  <c r="AA633" i="11" s="1"/>
  <c r="AB705" i="11"/>
  <c r="Y705" i="11"/>
  <c r="AA705" i="11" s="1"/>
  <c r="AB544" i="11"/>
  <c r="Y544" i="11"/>
  <c r="Y177" i="11"/>
  <c r="AB545" i="11"/>
  <c r="Y545" i="11"/>
  <c r="AB652" i="11"/>
  <c r="Y652" i="11"/>
  <c r="AA652" i="11" s="1"/>
  <c r="AB454" i="11"/>
  <c r="AD454" i="11" s="1"/>
  <c r="Y454" i="11"/>
  <c r="AB485" i="11"/>
  <c r="AD485" i="11" s="1"/>
  <c r="Y485" i="11"/>
  <c r="AB556" i="11"/>
  <c r="Y556" i="11"/>
  <c r="AB57" i="11"/>
  <c r="AD57" i="11" s="1"/>
  <c r="Y57" i="11"/>
  <c r="AB130" i="11"/>
  <c r="AD130" i="11" s="1"/>
  <c r="Y130" i="11"/>
  <c r="AB274" i="11"/>
  <c r="Y274" i="11"/>
  <c r="AA274" i="11" s="1"/>
  <c r="AB446" i="11"/>
  <c r="AD446" i="11" s="1"/>
  <c r="Y446" i="11"/>
  <c r="AB34" i="11"/>
  <c r="AD34" i="11" s="1"/>
  <c r="Y34" i="11"/>
  <c r="AB107" i="11"/>
  <c r="AD107" i="11" s="1"/>
  <c r="Y107" i="11"/>
  <c r="AB179" i="11"/>
  <c r="Y179" i="11"/>
  <c r="AB251" i="11"/>
  <c r="Y251" i="11"/>
  <c r="AA251" i="11" s="1"/>
  <c r="AB17" i="11"/>
  <c r="AD17" i="11" s="1"/>
  <c r="Y17" i="11"/>
  <c r="AA17" i="11" s="1"/>
  <c r="AB89" i="11"/>
  <c r="AD89" i="11" s="1"/>
  <c r="Y89" i="11"/>
  <c r="AA89" i="11" s="1"/>
  <c r="AB234" i="11"/>
  <c r="Y234" i="11"/>
  <c r="AA234" i="11" s="1"/>
  <c r="AB48" i="11"/>
  <c r="AD48" i="11" s="1"/>
  <c r="Y48" i="11"/>
  <c r="AB121" i="11"/>
  <c r="AD121" i="11" s="1"/>
  <c r="Y121" i="11"/>
  <c r="AA121" i="11" s="1"/>
  <c r="AB193" i="11"/>
  <c r="AD193" i="11" s="1"/>
  <c r="Y193" i="11"/>
  <c r="AA193" i="11" s="1"/>
  <c r="AB265" i="11"/>
  <c r="Y265" i="11"/>
  <c r="AA265" i="11" s="1"/>
  <c r="AB444" i="11"/>
  <c r="AD444" i="11" s="1"/>
  <c r="Y444" i="11"/>
  <c r="Y439" i="11"/>
  <c r="AB439" i="11"/>
  <c r="AD439" i="11" s="1"/>
  <c r="AB474" i="11"/>
  <c r="AD474" i="11" s="1"/>
  <c r="Y474" i="11"/>
  <c r="AA474" i="11" s="1"/>
  <c r="AB515" i="11"/>
  <c r="Y515" i="11"/>
  <c r="AA515" i="11" s="1"/>
  <c r="AB442" i="11"/>
  <c r="AD442" i="11" s="1"/>
  <c r="Y442" i="11"/>
  <c r="AB602" i="11"/>
  <c r="Y602" i="11"/>
  <c r="AB635" i="11"/>
  <c r="Y635" i="11"/>
  <c r="AA635" i="11" s="1"/>
  <c r="Y572" i="11"/>
  <c r="AB572" i="11"/>
  <c r="AB521" i="11"/>
  <c r="Y521" i="11"/>
  <c r="AB638" i="11"/>
  <c r="Y638" i="11"/>
  <c r="AA638" i="11" s="1"/>
  <c r="AB436" i="11"/>
  <c r="AD436" i="11" s="1"/>
  <c r="Y584" i="11"/>
  <c r="AB584" i="11"/>
  <c r="Y523" i="11"/>
  <c r="AB523" i="11"/>
  <c r="AB639" i="11"/>
  <c r="Y639" i="11"/>
  <c r="AA639" i="11" s="1"/>
  <c r="AB565" i="11"/>
  <c r="Y565" i="11"/>
  <c r="AA565" i="11" s="1"/>
  <c r="AB555" i="11"/>
  <c r="Y555" i="11"/>
  <c r="AA555" i="11" s="1"/>
  <c r="AB658" i="11"/>
  <c r="Y658" i="11"/>
  <c r="AB495" i="11"/>
  <c r="Y495" i="11"/>
  <c r="Y219" i="11"/>
  <c r="AA219" i="11" s="1"/>
  <c r="AB219" i="11"/>
  <c r="AB63" i="11"/>
  <c r="AD63" i="11" s="1"/>
  <c r="Y63" i="11"/>
  <c r="AA63" i="11" s="1"/>
  <c r="AB452" i="11"/>
  <c r="AD452" i="11" s="1"/>
  <c r="Y452" i="11"/>
  <c r="AB40" i="11"/>
  <c r="AD40" i="11" s="1"/>
  <c r="Y40" i="11"/>
  <c r="AB185" i="11"/>
  <c r="Y185" i="11"/>
  <c r="AA185" i="11" s="1"/>
  <c r="AB257" i="11"/>
  <c r="Y257" i="11"/>
  <c r="AA257" i="11" s="1"/>
  <c r="AB429" i="11"/>
  <c r="AD429" i="11" s="1"/>
  <c r="Y429" i="11"/>
  <c r="AB23" i="11"/>
  <c r="AD23" i="11" s="1"/>
  <c r="Y23" i="11"/>
  <c r="AB96" i="11"/>
  <c r="AD96" i="11" s="1"/>
  <c r="Y96" i="11"/>
  <c r="AB240" i="11"/>
  <c r="Y240" i="11"/>
  <c r="AA240" i="11" s="1"/>
  <c r="AB54" i="11"/>
  <c r="AD54" i="11" s="1"/>
  <c r="Y54" i="11"/>
  <c r="AB127" i="11"/>
  <c r="AD127" i="11" s="1"/>
  <c r="Y127" i="11"/>
  <c r="AB199" i="11"/>
  <c r="AD199" i="11" s="1"/>
  <c r="Y199" i="11"/>
  <c r="Y61" i="11"/>
  <c r="AB61" i="11"/>
  <c r="AD61" i="11" s="1"/>
  <c r="Y134" i="11"/>
  <c r="AB134" i="11"/>
  <c r="AD134" i="11" s="1"/>
  <c r="Y450" i="11"/>
  <c r="AA450" i="11" s="1"/>
  <c r="AB450" i="11"/>
  <c r="AD450" i="11" s="1"/>
  <c r="AB457" i="11"/>
  <c r="AD457" i="11" s="1"/>
  <c r="Y457" i="11"/>
  <c r="AA457" i="11" s="1"/>
  <c r="Y487" i="11"/>
  <c r="AB487" i="11"/>
  <c r="AD487" i="11" s="1"/>
  <c r="AB612" i="11"/>
  <c r="Y612" i="11"/>
  <c r="AB685" i="11"/>
  <c r="Y685" i="11"/>
  <c r="AB671" i="11"/>
  <c r="Y671" i="11"/>
  <c r="AA671" i="11" s="1"/>
  <c r="AB582" i="11"/>
  <c r="AB165" i="11"/>
  <c r="Y165" i="11"/>
  <c r="AA165" i="11" s="1"/>
  <c r="Y644" i="11"/>
  <c r="AB644" i="11"/>
  <c r="AB594" i="11"/>
  <c r="Y594" i="11"/>
  <c r="AB407" i="11"/>
  <c r="AD407" i="11" s="1"/>
  <c r="Y407" i="11"/>
  <c r="AA407" i="11" s="1"/>
  <c r="AB575" i="11"/>
  <c r="Y575" i="11"/>
  <c r="AA575" i="11" s="1"/>
  <c r="AB566" i="11"/>
  <c r="Y566" i="11"/>
  <c r="AB664" i="11"/>
  <c r="Y664" i="11"/>
  <c r="AB547" i="11"/>
  <c r="Y547" i="11"/>
  <c r="AB517" i="11"/>
  <c r="Y517" i="11"/>
  <c r="AA517" i="11" s="1"/>
  <c r="AB484" i="11"/>
  <c r="AD484" i="11" s="1"/>
  <c r="Y484" i="11"/>
  <c r="AA484" i="11" s="1"/>
  <c r="AB2" i="11"/>
  <c r="AD2" i="11" s="1"/>
  <c r="Y2" i="11"/>
  <c r="AA2" i="11" s="1"/>
  <c r="AB69" i="11"/>
  <c r="AD69" i="11" s="1"/>
  <c r="Y69" i="11"/>
  <c r="AB142" i="11"/>
  <c r="AD142" i="11" s="1"/>
  <c r="Y142" i="11"/>
  <c r="AA142" i="11" s="1"/>
  <c r="AB214" i="11"/>
  <c r="Y214" i="11"/>
  <c r="AA214" i="11" s="1"/>
  <c r="AB386" i="11"/>
  <c r="Y386" i="11"/>
  <c r="AA386" i="11" s="1"/>
  <c r="AB458" i="11"/>
  <c r="AD458" i="11" s="1"/>
  <c r="Y458" i="11"/>
  <c r="AA458" i="11" s="1"/>
  <c r="AB46" i="11"/>
  <c r="AD46" i="11" s="1"/>
  <c r="Y46" i="11"/>
  <c r="AA46" i="11" s="1"/>
  <c r="AB191" i="11"/>
  <c r="Y191" i="11"/>
  <c r="AA191" i="11" s="1"/>
  <c r="AB263" i="11"/>
  <c r="Y263" i="11"/>
  <c r="AA263" i="11" s="1"/>
  <c r="AB435" i="11"/>
  <c r="AD435" i="11" s="1"/>
  <c r="Y435" i="11"/>
  <c r="AB29" i="11"/>
  <c r="AD29" i="11" s="1"/>
  <c r="Y29" i="11"/>
  <c r="AA29" i="11" s="1"/>
  <c r="AB102" i="11"/>
  <c r="AD102" i="11" s="1"/>
  <c r="Y102" i="11"/>
  <c r="AA102" i="11" s="1"/>
  <c r="AB418" i="11"/>
  <c r="AD418" i="11" s="1"/>
  <c r="Y418" i="11"/>
  <c r="AA418" i="11" s="1"/>
  <c r="AB60" i="11"/>
  <c r="AD60" i="11" s="1"/>
  <c r="Y60" i="11"/>
  <c r="AB133" i="11"/>
  <c r="AD133" i="11" s="1"/>
  <c r="Y133" i="11"/>
  <c r="AA133" i="11" s="1"/>
  <c r="AB67" i="11"/>
  <c r="AD67" i="11" s="1"/>
  <c r="Y67" i="11"/>
  <c r="AB140" i="11"/>
  <c r="Y140" i="11"/>
  <c r="AA140" i="11" s="1"/>
  <c r="AB212" i="11"/>
  <c r="Y212" i="11"/>
  <c r="AA212" i="11" s="1"/>
  <c r="AB473" i="11"/>
  <c r="AD473" i="11" s="1"/>
  <c r="Y473" i="11"/>
  <c r="AA473" i="11" s="1"/>
  <c r="AB610" i="11"/>
  <c r="Y610" i="11"/>
  <c r="AB684" i="11"/>
  <c r="Y684" i="11"/>
  <c r="AB498" i="11"/>
  <c r="Y498" i="11"/>
  <c r="Y14" i="11"/>
  <c r="AB14" i="11"/>
  <c r="AD14" i="11" s="1"/>
  <c r="AB619" i="11"/>
  <c r="Y619" i="11"/>
  <c r="AA619" i="11" s="1"/>
  <c r="AB691" i="11"/>
  <c r="Y691" i="11"/>
  <c r="AA691" i="11" s="1"/>
  <c r="AB695" i="11"/>
  <c r="Y695" i="11"/>
  <c r="AA695" i="11" s="1"/>
  <c r="AB592" i="11"/>
  <c r="Y592" i="11"/>
  <c r="AB542" i="11"/>
  <c r="Y542" i="11"/>
  <c r="AB650" i="11"/>
  <c r="Y650" i="11"/>
  <c r="AA650" i="11" s="1"/>
  <c r="Y427" i="11"/>
  <c r="AA427" i="11" s="1"/>
  <c r="AB427" i="11"/>
  <c r="AD427" i="11" s="1"/>
  <c r="AB604" i="11"/>
  <c r="Y604" i="11"/>
  <c r="Y135" i="11"/>
  <c r="AB135" i="11"/>
  <c r="AD135" i="11" s="1"/>
  <c r="AB543" i="11"/>
  <c r="Y543" i="11"/>
  <c r="AB651" i="11"/>
  <c r="Y651" i="11"/>
  <c r="AB431" i="11"/>
  <c r="AD431" i="11" s="1"/>
  <c r="Y431" i="11"/>
  <c r="AA431" i="11" s="1"/>
  <c r="AB585" i="11"/>
  <c r="Y585" i="11"/>
  <c r="AA585" i="11" s="1"/>
  <c r="AB576" i="11"/>
  <c r="Y576" i="11"/>
  <c r="AA576" i="11" s="1"/>
  <c r="AB629" i="11"/>
  <c r="Y629" i="11"/>
  <c r="AA629" i="11" s="1"/>
  <c r="AB527" i="11"/>
  <c r="Y527" i="11"/>
  <c r="AB3" i="11"/>
  <c r="AD3" i="11" s="1"/>
  <c r="Y3" i="11"/>
  <c r="AA3" i="11" s="1"/>
  <c r="AB75" i="11"/>
  <c r="AD75" i="11" s="1"/>
  <c r="Y75" i="11"/>
  <c r="AA75" i="11" s="1"/>
  <c r="AB148" i="11"/>
  <c r="Y148" i="11"/>
  <c r="AA148" i="11" s="1"/>
  <c r="AB464" i="11"/>
  <c r="AD464" i="11" s="1"/>
  <c r="Y464" i="11"/>
  <c r="AA464" i="11" s="1"/>
  <c r="AB197" i="11"/>
  <c r="AD197" i="11" s="1"/>
  <c r="Y197" i="11"/>
  <c r="AB139" i="11"/>
  <c r="AB211" i="11"/>
  <c r="Y211" i="11"/>
  <c r="Y73" i="11"/>
  <c r="AB73" i="11"/>
  <c r="AD73" i="11" s="1"/>
  <c r="Y146" i="11"/>
  <c r="AA146" i="11" s="1"/>
  <c r="AB146" i="11"/>
  <c r="AD146" i="11" s="1"/>
  <c r="Y390" i="11"/>
  <c r="AA390" i="11" s="1"/>
  <c r="AB390" i="11"/>
  <c r="W462" i="11"/>
  <c r="AB486" i="11"/>
  <c r="AD486" i="11" s="1"/>
  <c r="Y486" i="11"/>
  <c r="AA486" i="11" s="1"/>
  <c r="AB508" i="11"/>
  <c r="Y508" i="11"/>
  <c r="Y50" i="11"/>
  <c r="AA50" i="11" s="1"/>
  <c r="AB50" i="11"/>
  <c r="AD50" i="11" s="1"/>
  <c r="AB499" i="11"/>
  <c r="Y499" i="11"/>
  <c r="AA499" i="11" s="1"/>
  <c r="AB625" i="11"/>
  <c r="Y625" i="11"/>
  <c r="AB697" i="11"/>
  <c r="Y697" i="11"/>
  <c r="AA697" i="11" s="1"/>
  <c r="AB443" i="11"/>
  <c r="AD443" i="11" s="1"/>
  <c r="Y443" i="11"/>
  <c r="AA443" i="11" s="1"/>
  <c r="AB613" i="11"/>
  <c r="Y613" i="11"/>
  <c r="AB552" i="11"/>
  <c r="Y552" i="11"/>
  <c r="AA552" i="11" s="1"/>
  <c r="Y656" i="11"/>
  <c r="AA656" i="11" s="1"/>
  <c r="AB656" i="11"/>
  <c r="AB479" i="11"/>
  <c r="AD479" i="11" s="1"/>
  <c r="Y479" i="11"/>
  <c r="AA479" i="11" s="1"/>
  <c r="Y171" i="11"/>
  <c r="AA171" i="11" s="1"/>
  <c r="AB554" i="11"/>
  <c r="Y554" i="11"/>
  <c r="AB449" i="11"/>
  <c r="AD449" i="11" s="1"/>
  <c r="Y449" i="11"/>
  <c r="Y596" i="11"/>
  <c r="AB596" i="11"/>
  <c r="AB409" i="11"/>
  <c r="AD409" i="11" s="1"/>
  <c r="Y409" i="11"/>
  <c r="AA409" i="11" s="1"/>
  <c r="AB676" i="11"/>
  <c r="Y676" i="11"/>
  <c r="AB647" i="11"/>
  <c r="Y647" i="11"/>
  <c r="AA647" i="11" s="1"/>
  <c r="W537" i="11"/>
  <c r="X537" i="11" s="1"/>
  <c r="AB623" i="11"/>
  <c r="Y623" i="11"/>
  <c r="AB9" i="11"/>
  <c r="AD9" i="11" s="1"/>
  <c r="Y9" i="11"/>
  <c r="AA9" i="11" s="1"/>
  <c r="AB81" i="11"/>
  <c r="AD81" i="11" s="1"/>
  <c r="Y81" i="11"/>
  <c r="AB154" i="11"/>
  <c r="AD154" i="11" s="1"/>
  <c r="Y154" i="11"/>
  <c r="AA154" i="11" s="1"/>
  <c r="AB226" i="11"/>
  <c r="Y226" i="11"/>
  <c r="AA226" i="11" s="1"/>
  <c r="AB470" i="11"/>
  <c r="AD470" i="11" s="1"/>
  <c r="Y470" i="11"/>
  <c r="AA470" i="11" s="1"/>
  <c r="AB131" i="11"/>
  <c r="Y131" i="11"/>
  <c r="AA131" i="11" s="1"/>
  <c r="AB203" i="11"/>
  <c r="AD203" i="11" s="1"/>
  <c r="Y203" i="11"/>
  <c r="AB447" i="11"/>
  <c r="AD447" i="11" s="1"/>
  <c r="Y447" i="11"/>
  <c r="AA447" i="11" s="1"/>
  <c r="AB72" i="11"/>
  <c r="AD72" i="11" s="1"/>
  <c r="Y72" i="11"/>
  <c r="AB217" i="11"/>
  <c r="Y217" i="11"/>
  <c r="AA217" i="11" s="1"/>
  <c r="AB7" i="11"/>
  <c r="AD7" i="11" s="1"/>
  <c r="Y7" i="11"/>
  <c r="AA7" i="11" s="1"/>
  <c r="AB79" i="11"/>
  <c r="AD79" i="11" s="1"/>
  <c r="Y79" i="11"/>
  <c r="AA79" i="11" s="1"/>
  <c r="AB152" i="11"/>
  <c r="AD152" i="11" s="1"/>
  <c r="Y152" i="11"/>
  <c r="AB396" i="11"/>
  <c r="Y396" i="11"/>
  <c r="AA396" i="11" s="1"/>
  <c r="AB497" i="11"/>
  <c r="Y497" i="11"/>
  <c r="AB624" i="11"/>
  <c r="Y624" i="11"/>
  <c r="AA624" i="11" s="1"/>
  <c r="AB696" i="11"/>
  <c r="Y696" i="11"/>
  <c r="AA696" i="11" s="1"/>
  <c r="AB529" i="11"/>
  <c r="Y529" i="11"/>
  <c r="AB509" i="11"/>
  <c r="Y509" i="11"/>
  <c r="AA509" i="11" s="1"/>
  <c r="AB631" i="11"/>
  <c r="Y631" i="11"/>
  <c r="AB703" i="11"/>
  <c r="Y703" i="11"/>
  <c r="AB461" i="11"/>
  <c r="AD461" i="11" s="1"/>
  <c r="Y461" i="11"/>
  <c r="AA461" i="11" s="1"/>
  <c r="AB525" i="11"/>
  <c r="Y525" i="11"/>
  <c r="AA525" i="11" s="1"/>
  <c r="AB490" i="11"/>
  <c r="AD490" i="11" s="1"/>
  <c r="Y490" i="11"/>
  <c r="Y183" i="11"/>
  <c r="AA183" i="11" s="1"/>
  <c r="AB183" i="11"/>
  <c r="AD183" i="11" s="1"/>
  <c r="Y207" i="11"/>
  <c r="AA207" i="11" s="1"/>
  <c r="AB207" i="11"/>
  <c r="AB663" i="11"/>
  <c r="Y663" i="11"/>
  <c r="AB467" i="11"/>
  <c r="AD467" i="11" s="1"/>
  <c r="Y467" i="11"/>
  <c r="AA467" i="11" s="1"/>
  <c r="AB606" i="11"/>
  <c r="Y606" i="11"/>
  <c r="Y433" i="11"/>
  <c r="AA433" i="11" s="1"/>
  <c r="AB677" i="11"/>
  <c r="Y677" i="11"/>
  <c r="AB548" i="11"/>
  <c r="Y548" i="11"/>
  <c r="AB653" i="11"/>
  <c r="Y653" i="11"/>
  <c r="AB15" i="11"/>
  <c r="AD15" i="11" s="1"/>
  <c r="Y15" i="11"/>
  <c r="AA15" i="11" s="1"/>
  <c r="AB87" i="11"/>
  <c r="AD87" i="11" s="1"/>
  <c r="AB232" i="11"/>
  <c r="Y232" i="11"/>
  <c r="AB64" i="11"/>
  <c r="AD64" i="11" s="1"/>
  <c r="Y64" i="11"/>
  <c r="AA64" i="11" s="1"/>
  <c r="AB209" i="11"/>
  <c r="Y209" i="11"/>
  <c r="AA209" i="11" s="1"/>
  <c r="AB453" i="11"/>
  <c r="AD453" i="11" s="1"/>
  <c r="Y453" i="11"/>
  <c r="AA453" i="11" s="1"/>
  <c r="AB6" i="11"/>
  <c r="AD6" i="11" s="1"/>
  <c r="Y6" i="11"/>
  <c r="AB78" i="11"/>
  <c r="AD78" i="11" s="1"/>
  <c r="Y78" i="11"/>
  <c r="AB151" i="11"/>
  <c r="Y151" i="11"/>
  <c r="AA151" i="11" s="1"/>
  <c r="AB223" i="11"/>
  <c r="Y223" i="11"/>
  <c r="AA223" i="11" s="1"/>
  <c r="AB13" i="11"/>
  <c r="AD13" i="11" s="1"/>
  <c r="Y13" i="11"/>
  <c r="AB85" i="11"/>
  <c r="AD85" i="11" s="1"/>
  <c r="Y85" i="11"/>
  <c r="AA85" i="11" s="1"/>
  <c r="AB158" i="11"/>
  <c r="Y158" i="11"/>
  <c r="AA158" i="11" s="1"/>
  <c r="AB230" i="11"/>
  <c r="Y230" i="11"/>
  <c r="AA230" i="11" s="1"/>
  <c r="W44" i="11"/>
  <c r="AB507" i="11"/>
  <c r="Y507" i="11"/>
  <c r="AB630" i="11"/>
  <c r="Y630" i="11"/>
  <c r="AB702" i="11"/>
  <c r="Y702" i="11"/>
  <c r="AA702" i="11" s="1"/>
  <c r="AB539" i="11"/>
  <c r="Y539" i="11"/>
  <c r="AA539" i="11" s="1"/>
  <c r="Y123" i="11"/>
  <c r="AB123" i="11"/>
  <c r="AD123" i="11" s="1"/>
  <c r="AB519" i="11"/>
  <c r="Y519" i="11"/>
  <c r="AB637" i="11"/>
  <c r="Y637" i="11"/>
  <c r="AB469" i="11"/>
  <c r="AD469" i="11" s="1"/>
  <c r="Y469" i="11"/>
  <c r="AB488" i="11"/>
  <c r="AD488" i="11" s="1"/>
  <c r="Y488" i="11"/>
  <c r="AA488" i="11" s="1"/>
  <c r="Y608" i="11"/>
  <c r="AA608" i="11" s="1"/>
  <c r="AB608" i="11"/>
  <c r="Y668" i="11"/>
  <c r="AB668" i="11"/>
  <c r="AB501" i="11"/>
  <c r="Y501" i="11"/>
  <c r="AB506" i="11"/>
  <c r="Y506" i="11"/>
  <c r="Y243" i="11"/>
  <c r="AA243" i="11" s="1"/>
  <c r="AB243" i="11"/>
  <c r="AB574" i="11"/>
  <c r="Y574" i="11"/>
  <c r="AA574" i="11" s="1"/>
  <c r="AB669" i="11"/>
  <c r="Y669" i="11"/>
  <c r="AB481" i="11"/>
  <c r="AD481" i="11" s="1"/>
  <c r="Y481" i="11"/>
  <c r="AB597" i="11"/>
  <c r="Y597" i="11"/>
  <c r="Y451" i="11"/>
  <c r="AB451" i="11"/>
  <c r="AD451" i="11" s="1"/>
  <c r="AB616" i="11"/>
  <c r="Y616" i="11"/>
  <c r="AB688" i="11"/>
  <c r="Y688" i="11"/>
  <c r="AA688" i="11" s="1"/>
  <c r="AB701" i="11"/>
  <c r="Y701" i="11"/>
  <c r="AA701" i="11" s="1"/>
  <c r="AB558" i="11"/>
  <c r="Y558" i="11"/>
  <c r="AB689" i="11"/>
  <c r="Y689" i="11"/>
  <c r="AB410" i="11"/>
  <c r="AD410" i="11" s="1"/>
  <c r="Y410" i="11"/>
  <c r="AA410" i="11" s="1"/>
  <c r="W70" i="11"/>
  <c r="W215" i="11"/>
  <c r="AB12" i="11"/>
  <c r="AD12" i="11" s="1"/>
  <c r="AB84" i="11"/>
  <c r="AD84" i="11" s="1"/>
  <c r="Y84" i="11"/>
  <c r="AB157" i="11"/>
  <c r="Y157" i="11"/>
  <c r="AA157" i="11" s="1"/>
  <c r="AB229" i="11"/>
  <c r="Y229" i="11"/>
  <c r="AA229" i="11" s="1"/>
  <c r="AB19" i="11"/>
  <c r="AD19" i="11" s="1"/>
  <c r="Y19" i="11"/>
  <c r="AA19" i="11" s="1"/>
  <c r="AB92" i="11"/>
  <c r="AD92" i="11" s="1"/>
  <c r="Y92" i="11"/>
  <c r="AA92" i="11" s="1"/>
  <c r="AB164" i="11"/>
  <c r="AD164" i="11" s="1"/>
  <c r="Y164" i="11"/>
  <c r="AA164" i="11" s="1"/>
  <c r="AB236" i="11"/>
  <c r="Y236" i="11"/>
  <c r="AB80" i="11"/>
  <c r="AD80" i="11" s="1"/>
  <c r="Y80" i="11"/>
  <c r="AA80" i="11" s="1"/>
  <c r="AB518" i="11"/>
  <c r="Y518" i="11"/>
  <c r="AA518" i="11" s="1"/>
  <c r="AB636" i="11"/>
  <c r="Y636" i="11"/>
  <c r="AB505" i="11"/>
  <c r="Y505" i="11"/>
  <c r="AA505" i="11" s="1"/>
  <c r="AB549" i="11"/>
  <c r="Y549" i="11"/>
  <c r="Y159" i="11"/>
  <c r="AB159" i="11"/>
  <c r="AB530" i="11"/>
  <c r="Y530" i="11"/>
  <c r="Y643" i="11"/>
  <c r="AB643" i="11"/>
  <c r="Y536" i="11"/>
  <c r="AB536" i="11"/>
  <c r="Y500" i="11"/>
  <c r="AB500" i="11"/>
  <c r="AB425" i="11"/>
  <c r="AD425" i="11" s="1"/>
  <c r="Y425" i="11"/>
  <c r="AB593" i="11"/>
  <c r="Y593" i="11"/>
  <c r="Y512" i="11"/>
  <c r="AA512" i="11" s="1"/>
  <c r="AB512" i="11"/>
  <c r="Y279" i="11"/>
  <c r="AA279" i="11" s="1"/>
  <c r="AB279" i="11"/>
  <c r="Y595" i="11"/>
  <c r="AB595" i="11"/>
  <c r="AB675" i="11"/>
  <c r="Y675" i="11"/>
  <c r="AA675" i="11" s="1"/>
  <c r="AB468" i="11"/>
  <c r="AD468" i="11" s="1"/>
  <c r="Y468" i="11"/>
  <c r="AB622" i="11"/>
  <c r="Y622" i="11"/>
  <c r="AB694" i="11"/>
  <c r="Y694" i="11"/>
  <c r="AA694" i="11" s="1"/>
  <c r="AB568" i="11"/>
  <c r="Y568" i="11"/>
  <c r="AB4" i="11"/>
  <c r="AD4" i="11" s="1"/>
  <c r="Y4" i="11"/>
  <c r="AB221" i="11"/>
  <c r="Y221" i="11"/>
  <c r="AA221" i="11" s="1"/>
  <c r="AB465" i="11"/>
  <c r="AD465" i="11" s="1"/>
  <c r="Y465" i="11"/>
  <c r="AB59" i="11"/>
  <c r="AD59" i="11" s="1"/>
  <c r="Y59" i="11"/>
  <c r="AB132" i="11"/>
  <c r="AD132" i="11" s="1"/>
  <c r="Y132" i="11"/>
  <c r="AA132" i="11" s="1"/>
  <c r="AB18" i="11"/>
  <c r="AD18" i="11" s="1"/>
  <c r="Y18" i="11"/>
  <c r="AB163" i="11"/>
  <c r="AD163" i="11" s="1"/>
  <c r="Y163" i="11"/>
  <c r="AA163" i="11" s="1"/>
  <c r="AB235" i="11"/>
  <c r="Y235" i="11"/>
  <c r="AB25" i="11"/>
  <c r="AD25" i="11" s="1"/>
  <c r="Y25" i="11"/>
  <c r="AB98" i="11"/>
  <c r="AD98" i="11" s="1"/>
  <c r="Y98" i="11"/>
  <c r="AB170" i="11"/>
  <c r="Y170" i="11"/>
  <c r="AA170" i="11" s="1"/>
  <c r="AB414" i="11"/>
  <c r="AD414" i="11" s="1"/>
  <c r="Y414" i="11"/>
  <c r="AA414" i="11" s="1"/>
  <c r="W117" i="11"/>
  <c r="X117" i="11" s="1"/>
  <c r="AB528" i="11"/>
  <c r="Y528" i="11"/>
  <c r="AB642" i="11"/>
  <c r="Y642" i="11"/>
  <c r="AA642" i="11" s="1"/>
  <c r="AB560" i="11"/>
  <c r="Y560" i="11"/>
  <c r="AB540" i="11"/>
  <c r="Y540" i="11"/>
  <c r="AB649" i="11"/>
  <c r="Y649" i="11"/>
  <c r="AB587" i="11"/>
  <c r="Y587" i="11"/>
  <c r="AA587" i="11" s="1"/>
  <c r="AB510" i="11"/>
  <c r="Y510" i="11"/>
  <c r="AA510" i="11" s="1"/>
  <c r="AB567" i="11"/>
  <c r="Y567" i="11"/>
  <c r="AB445" i="11"/>
  <c r="AD445" i="11" s="1"/>
  <c r="Y445" i="11"/>
  <c r="AA445" i="11" s="1"/>
  <c r="AB603" i="11"/>
  <c r="Y603" i="11"/>
  <c r="Y680" i="11"/>
  <c r="AB680" i="11"/>
  <c r="AB522" i="11"/>
  <c r="Y522" i="11"/>
  <c r="AA522" i="11" s="1"/>
  <c r="AB617" i="11"/>
  <c r="Y617" i="11"/>
  <c r="AA617" i="11" s="1"/>
  <c r="AB448" i="11"/>
  <c r="AD448" i="11" s="1"/>
  <c r="Y448" i="11"/>
  <c r="AB605" i="11"/>
  <c r="Y605" i="11"/>
  <c r="AA605" i="11" s="1"/>
  <c r="AB681" i="11"/>
  <c r="Y681" i="11"/>
  <c r="AB503" i="11"/>
  <c r="Y503" i="11"/>
  <c r="AB32" i="11"/>
  <c r="AD32" i="11" s="1"/>
  <c r="Y32" i="11"/>
  <c r="AA32" i="11" s="1"/>
  <c r="AB493" i="11"/>
  <c r="AD493" i="11" s="1"/>
  <c r="Y493" i="11"/>
  <c r="AA493" i="11" s="1"/>
  <c r="W628" i="11"/>
  <c r="W700" i="11"/>
  <c r="Y415" i="11"/>
  <c r="AA415" i="11" s="1"/>
  <c r="AB415" i="11"/>
  <c r="AD415" i="11" s="1"/>
  <c r="AB589" i="11"/>
  <c r="Y589" i="11"/>
  <c r="AB82" i="11"/>
  <c r="AD82" i="11" s="1"/>
  <c r="Y82" i="11"/>
  <c r="AA82" i="11" s="1"/>
  <c r="AB471" i="11"/>
  <c r="AD471" i="11" s="1"/>
  <c r="Y471" i="11"/>
  <c r="AB65" i="11"/>
  <c r="AD65" i="11" s="1"/>
  <c r="Y65" i="11"/>
  <c r="AB138" i="11"/>
  <c r="Y138" i="11"/>
  <c r="AB382" i="11"/>
  <c r="Y382" i="11"/>
  <c r="AA382" i="11" s="1"/>
  <c r="AB24" i="11"/>
  <c r="AD24" i="11" s="1"/>
  <c r="Y24" i="11"/>
  <c r="AA24" i="11" s="1"/>
  <c r="AB97" i="11"/>
  <c r="AD97" i="11" s="1"/>
  <c r="Y97" i="11"/>
  <c r="AB169" i="11"/>
  <c r="Y169" i="11"/>
  <c r="AA169" i="11" s="1"/>
  <c r="AB241" i="11"/>
  <c r="Y241" i="11"/>
  <c r="AB31" i="11"/>
  <c r="AD31" i="11" s="1"/>
  <c r="Y31" i="11"/>
  <c r="AB104" i="11"/>
  <c r="AD104" i="11" s="1"/>
  <c r="Y104" i="11"/>
  <c r="AA104" i="11" s="1"/>
  <c r="AB176" i="11"/>
  <c r="Y176" i="11"/>
  <c r="AA176" i="11" s="1"/>
  <c r="AB538" i="11"/>
  <c r="Y538" i="11"/>
  <c r="AB648" i="11"/>
  <c r="Y648" i="11"/>
  <c r="AB570" i="11"/>
  <c r="Y570" i="11"/>
  <c r="AB231" i="11"/>
  <c r="AB659" i="11"/>
  <c r="Y659" i="11"/>
  <c r="Y463" i="11"/>
  <c r="AB463" i="11"/>
  <c r="AD463" i="11" s="1"/>
  <c r="AB614" i="11"/>
  <c r="Y614" i="11"/>
  <c r="AB532" i="11"/>
  <c r="Y532" i="11"/>
  <c r="AA532" i="11" s="1"/>
  <c r="AB641" i="11"/>
  <c r="Y641" i="11"/>
  <c r="AB466" i="11"/>
  <c r="AD466" i="11" s="1"/>
  <c r="Y466" i="11"/>
  <c r="AB615" i="11"/>
  <c r="Y615" i="11"/>
  <c r="AB687" i="11"/>
  <c r="Y687" i="11"/>
  <c r="AB513" i="11"/>
  <c r="Y513" i="11"/>
  <c r="W68" i="11"/>
  <c r="AB504" i="11"/>
  <c r="Y504" i="11"/>
  <c r="AA504" i="11" s="1"/>
  <c r="AB634" i="11"/>
  <c r="Y634" i="11"/>
  <c r="AB706" i="11"/>
  <c r="Y706" i="11"/>
  <c r="W599" i="11"/>
  <c r="AB428" i="11"/>
  <c r="AD428" i="11" s="1"/>
  <c r="Y428" i="11"/>
  <c r="AB16" i="11"/>
  <c r="AD16" i="11" s="1"/>
  <c r="Y16" i="11"/>
  <c r="AB233" i="11"/>
  <c r="Y233" i="11"/>
  <c r="AA233" i="11" s="1"/>
  <c r="Y405" i="11"/>
  <c r="AA405" i="11" s="1"/>
  <c r="AB477" i="11"/>
  <c r="AD477" i="11" s="1"/>
  <c r="Y477" i="11"/>
  <c r="AB71" i="11"/>
  <c r="AD71" i="11" s="1"/>
  <c r="Y71" i="11"/>
  <c r="AB144" i="11"/>
  <c r="AD144" i="11" s="1"/>
  <c r="Y144" i="11"/>
  <c r="AB216" i="11"/>
  <c r="Y216" i="11"/>
  <c r="AA216" i="11" s="1"/>
  <c r="AB388" i="11"/>
  <c r="Y388" i="11"/>
  <c r="AA388" i="11" s="1"/>
  <c r="AB30" i="11"/>
  <c r="AD30" i="11" s="1"/>
  <c r="Y30" i="11"/>
  <c r="AB103" i="11"/>
  <c r="AD103" i="11" s="1"/>
  <c r="Y103" i="11"/>
  <c r="AB175" i="11"/>
  <c r="Y175" i="11"/>
  <c r="AB247" i="11"/>
  <c r="Y247" i="11"/>
  <c r="AB426" i="11"/>
  <c r="AD426" i="11" s="1"/>
  <c r="Y426" i="11"/>
  <c r="AA426" i="11" s="1"/>
  <c r="AB559" i="11"/>
  <c r="Y559" i="11"/>
  <c r="AA559" i="11" s="1"/>
  <c r="AB654" i="11"/>
  <c r="Y654" i="11"/>
  <c r="AB665" i="11"/>
  <c r="Y665" i="11"/>
  <c r="AB580" i="11"/>
  <c r="Y580" i="11"/>
  <c r="AB661" i="11"/>
  <c r="Y661" i="11"/>
  <c r="AA661" i="11" s="1"/>
  <c r="AB20" i="11"/>
  <c r="AD20" i="11" s="1"/>
  <c r="Y20" i="11"/>
  <c r="AB478" i="11"/>
  <c r="AD478" i="11" s="1"/>
  <c r="Y478" i="11"/>
  <c r="AA478" i="11" s="1"/>
  <c r="AB620" i="11"/>
  <c r="Y620" i="11"/>
  <c r="AB692" i="11"/>
  <c r="Y692" i="11"/>
  <c r="AB553" i="11"/>
  <c r="Y553" i="11"/>
  <c r="AB683" i="11"/>
  <c r="Y683" i="11"/>
  <c r="AA683" i="11" s="1"/>
  <c r="AB480" i="11"/>
  <c r="AD480" i="11" s="1"/>
  <c r="Y480" i="11"/>
  <c r="AB621" i="11"/>
  <c r="Y621" i="11"/>
  <c r="AA621" i="11" s="1"/>
  <c r="AB693" i="11"/>
  <c r="Y693" i="11"/>
  <c r="Y524" i="11"/>
  <c r="AB524" i="11"/>
  <c r="AB105" i="11"/>
  <c r="AD105" i="11" s="1"/>
  <c r="Y105" i="11"/>
  <c r="AB514" i="11"/>
  <c r="Y514" i="11"/>
  <c r="AA514" i="11" s="1"/>
  <c r="AB640" i="11"/>
  <c r="Y640" i="11"/>
  <c r="AB609" i="11"/>
  <c r="Y609" i="11"/>
  <c r="AA609" i="11" s="1"/>
  <c r="AB45" i="11"/>
  <c r="AD45" i="11" s="1"/>
  <c r="Y45" i="11"/>
  <c r="AA45" i="11" s="1"/>
  <c r="AB118" i="11"/>
  <c r="AD118" i="11" s="1"/>
  <c r="Y118" i="11"/>
  <c r="AA118" i="11" s="1"/>
  <c r="AB190" i="11"/>
  <c r="Y190" i="11"/>
  <c r="AB434" i="11"/>
  <c r="AD434" i="11" s="1"/>
  <c r="Y434" i="11"/>
  <c r="AA434" i="11" s="1"/>
  <c r="W22" i="11"/>
  <c r="W95" i="11"/>
  <c r="X95" i="11" s="1"/>
  <c r="W239" i="11"/>
  <c r="X239" i="11" s="1"/>
  <c r="AB5" i="11"/>
  <c r="AD5" i="11" s="1"/>
  <c r="Y5" i="11"/>
  <c r="AA5" i="11" s="1"/>
  <c r="AB77" i="11"/>
  <c r="AD77" i="11" s="1"/>
  <c r="Y77" i="11"/>
  <c r="AB36" i="11"/>
  <c r="AD36" i="11" s="1"/>
  <c r="Y36" i="11"/>
  <c r="AB109" i="11"/>
  <c r="AD109" i="11" s="1"/>
  <c r="Y109" i="11"/>
  <c r="AA109" i="11" s="1"/>
  <c r="AB181" i="11"/>
  <c r="Y181" i="11"/>
  <c r="AB253" i="11"/>
  <c r="Y253" i="11"/>
  <c r="AA253" i="11" s="1"/>
  <c r="Y260" i="11"/>
  <c r="AA260" i="11" s="1"/>
  <c r="AB225" i="11"/>
  <c r="Y225" i="11"/>
  <c r="AA225" i="11" s="1"/>
  <c r="AB569" i="11"/>
  <c r="Y569" i="11"/>
  <c r="AA569" i="11" s="1"/>
  <c r="AB660" i="11"/>
  <c r="Y660" i="11"/>
  <c r="AA660" i="11" s="1"/>
  <c r="AB395" i="11"/>
  <c r="AB397" i="11"/>
  <c r="AB581" i="11"/>
  <c r="Y581" i="11"/>
  <c r="AB526" i="11"/>
  <c r="Y526" i="11"/>
  <c r="AB551" i="11"/>
  <c r="Y551" i="11"/>
  <c r="AA551" i="11" s="1"/>
  <c r="AB56" i="11"/>
  <c r="AD56" i="11" s="1"/>
  <c r="Y56" i="11"/>
  <c r="AA56" i="11" s="1"/>
  <c r="AB489" i="11"/>
  <c r="AD489" i="11" s="1"/>
  <c r="Y489" i="11"/>
  <c r="AB626" i="11"/>
  <c r="Y626" i="11"/>
  <c r="AA626" i="11" s="1"/>
  <c r="AB698" i="11"/>
  <c r="Y698" i="11"/>
  <c r="AA698" i="11" s="1"/>
  <c r="AB563" i="11"/>
  <c r="Y563" i="11"/>
  <c r="AA563" i="11" s="1"/>
  <c r="AB707" i="11"/>
  <c r="AB491" i="11"/>
  <c r="AD491" i="11" s="1"/>
  <c r="Y491" i="11"/>
  <c r="AA491" i="11" s="1"/>
  <c r="AB627" i="11"/>
  <c r="Y627" i="11"/>
  <c r="AB699" i="11"/>
  <c r="Y699" i="11"/>
  <c r="AA699" i="11" s="1"/>
  <c r="W535" i="11"/>
  <c r="Y646" i="11"/>
  <c r="AA646" i="11" s="1"/>
  <c r="Y74" i="11"/>
  <c r="AB74" i="11"/>
  <c r="AD74" i="11" s="1"/>
  <c r="AB472" i="11"/>
  <c r="AD472" i="11" s="1"/>
  <c r="Y472" i="11"/>
  <c r="AA472" i="11" s="1"/>
  <c r="W483" i="11"/>
  <c r="X483" i="11" s="1"/>
  <c r="W679" i="11"/>
  <c r="W516" i="11"/>
  <c r="X516" i="11" s="1"/>
  <c r="W475" i="11"/>
  <c r="W588" i="11"/>
  <c r="W618" i="11"/>
  <c r="W690" i="11"/>
  <c r="W657" i="11"/>
  <c r="W564" i="11"/>
  <c r="W607" i="11"/>
  <c r="W682" i="11"/>
  <c r="W583" i="11"/>
  <c r="W674" i="11"/>
  <c r="W557" i="11"/>
  <c r="W437" i="11"/>
  <c r="W541" i="11"/>
  <c r="W432" i="11"/>
  <c r="W601" i="11"/>
  <c r="W667" i="11"/>
  <c r="W423" i="11"/>
  <c r="W413" i="11"/>
  <c r="W600" i="11"/>
  <c r="W678" i="11"/>
  <c r="W533" i="11"/>
  <c r="W645" i="11"/>
  <c r="W456" i="11"/>
  <c r="W670" i="11"/>
  <c r="W441" i="11"/>
  <c r="W546" i="11"/>
  <c r="W586" i="11"/>
  <c r="W562" i="11"/>
  <c r="W662" i="11"/>
  <c r="W492" i="11"/>
  <c r="W416" i="11"/>
  <c r="W578" i="11"/>
  <c r="W520" i="11"/>
  <c r="W571" i="11"/>
  <c r="W494" i="11"/>
  <c r="W577" i="11"/>
  <c r="W455" i="11"/>
  <c r="W99" i="11"/>
  <c r="W249" i="11"/>
  <c r="X249" i="11" s="1"/>
  <c r="W401" i="11"/>
  <c r="W76" i="11"/>
  <c r="X76" i="11" s="1"/>
  <c r="W38" i="11"/>
  <c r="W88" i="11"/>
  <c r="W189" i="11"/>
  <c r="X189" i="11" s="1"/>
  <c r="W400" i="11"/>
  <c r="X454" i="11"/>
  <c r="AA446" i="11"/>
  <c r="W406" i="11"/>
  <c r="X406" i="11" s="1"/>
  <c r="W55" i="11"/>
  <c r="W128" i="11"/>
  <c r="W200" i="11"/>
  <c r="X200" i="11" s="1"/>
  <c r="W129" i="11"/>
  <c r="W35" i="11"/>
  <c r="X35" i="11" s="1"/>
  <c r="W108" i="11"/>
  <c r="W180" i="11"/>
  <c r="W252" i="11"/>
  <c r="X252" i="11" s="1"/>
  <c r="W281" i="11"/>
  <c r="AA689" i="11"/>
  <c r="W21" i="11"/>
  <c r="X21" i="11" s="1"/>
  <c r="W94" i="11"/>
  <c r="W166" i="11"/>
  <c r="W238" i="11"/>
  <c r="AA560" i="11"/>
  <c r="W37" i="11"/>
  <c r="X37" i="11" s="1"/>
  <c r="W110" i="11"/>
  <c r="X110" i="11" s="1"/>
  <c r="W182" i="11"/>
  <c r="X45" i="11"/>
  <c r="X118" i="11"/>
  <c r="AA190" i="11"/>
  <c r="X190" i="11"/>
  <c r="X434" i="11"/>
  <c r="W167" i="11"/>
  <c r="X5" i="11"/>
  <c r="AA77" i="11"/>
  <c r="X77" i="11"/>
  <c r="AA36" i="11"/>
  <c r="X36" i="11"/>
  <c r="X109" i="11"/>
  <c r="AA181" i="11"/>
  <c r="X181" i="11"/>
  <c r="X253" i="11"/>
  <c r="W43" i="11"/>
  <c r="W116" i="11"/>
  <c r="W188" i="11"/>
  <c r="X225" i="11"/>
  <c r="X569" i="11"/>
  <c r="X660" i="11"/>
  <c r="X397" i="11"/>
  <c r="X551" i="11"/>
  <c r="X56" i="11"/>
  <c r="X489" i="11"/>
  <c r="AA489" i="11"/>
  <c r="X626" i="11"/>
  <c r="X698" i="11"/>
  <c r="X563" i="11"/>
  <c r="X491" i="11"/>
  <c r="X627" i="11"/>
  <c r="AA627" i="11"/>
  <c r="X699" i="11"/>
  <c r="X535" i="11"/>
  <c r="AA74" i="11"/>
  <c r="X74" i="11"/>
  <c r="X472" i="11"/>
  <c r="X268" i="11"/>
  <c r="AA245" i="11"/>
  <c r="X245" i="11"/>
  <c r="X156" i="11"/>
  <c r="X187" i="11"/>
  <c r="X598" i="11"/>
  <c r="AA598" i="11"/>
  <c r="X632" i="11"/>
  <c r="X502" i="11"/>
  <c r="AA545" i="11"/>
  <c r="X545" i="11"/>
  <c r="AA556" i="11"/>
  <c r="X556" i="11"/>
  <c r="X274" i="11"/>
  <c r="X55" i="11"/>
  <c r="AA444" i="11"/>
  <c r="X444" i="11"/>
  <c r="X515" i="11"/>
  <c r="X635" i="11"/>
  <c r="X565" i="11"/>
  <c r="AA495" i="11"/>
  <c r="X495" i="11"/>
  <c r="X63" i="11"/>
  <c r="AA452" i="11"/>
  <c r="X452" i="11"/>
  <c r="AA40" i="11"/>
  <c r="X40" i="11"/>
  <c r="W113" i="11"/>
  <c r="X185" i="11"/>
  <c r="X257" i="11"/>
  <c r="X429" i="11"/>
  <c r="AA429" i="11"/>
  <c r="X23" i="11"/>
  <c r="AA23" i="11"/>
  <c r="AA96" i="11"/>
  <c r="X96" i="11"/>
  <c r="X240" i="11"/>
  <c r="AA54" i="11"/>
  <c r="X54" i="11"/>
  <c r="AA127" i="11"/>
  <c r="X127" i="11"/>
  <c r="AA199" i="11"/>
  <c r="X199" i="11"/>
  <c r="AA61" i="11"/>
  <c r="X61" i="11"/>
  <c r="AA134" i="11"/>
  <c r="X134" i="11"/>
  <c r="X450" i="11"/>
  <c r="X457" i="11"/>
  <c r="AA487" i="11"/>
  <c r="X487" i="11"/>
  <c r="X389" i="11"/>
  <c r="AA612" i="11"/>
  <c r="X612" i="11"/>
  <c r="AA685" i="11"/>
  <c r="X685" i="11"/>
  <c r="X671" i="11"/>
  <c r="X165" i="11"/>
  <c r="X531" i="11"/>
  <c r="AA644" i="11"/>
  <c r="X644" i="11"/>
  <c r="X99" i="11"/>
  <c r="X407" i="11"/>
  <c r="X575" i="11"/>
  <c r="AA566" i="11"/>
  <c r="X566" i="11"/>
  <c r="AA664" i="11"/>
  <c r="X664" i="11"/>
  <c r="AA547" i="11"/>
  <c r="X547" i="11"/>
  <c r="X517" i="11"/>
  <c r="X484" i="11"/>
  <c r="X440" i="11"/>
  <c r="X115" i="11"/>
  <c r="X438" i="11"/>
  <c r="X611" i="11"/>
  <c r="X93" i="11"/>
  <c r="X633" i="11"/>
  <c r="AA57" i="11"/>
  <c r="X57" i="11"/>
  <c r="AA107" i="11"/>
  <c r="X107" i="11"/>
  <c r="X234" i="11"/>
  <c r="AA572" i="11"/>
  <c r="X572" i="11"/>
  <c r="X639" i="11"/>
  <c r="X2" i="11"/>
  <c r="AA69" i="11"/>
  <c r="X69" i="11"/>
  <c r="X142" i="11"/>
  <c r="X214" i="11"/>
  <c r="X386" i="11"/>
  <c r="X458" i="11"/>
  <c r="X46" i="11"/>
  <c r="W119" i="11"/>
  <c r="X191" i="11"/>
  <c r="X263" i="11"/>
  <c r="X29" i="11"/>
  <c r="X102" i="11"/>
  <c r="X418" i="11"/>
  <c r="AA60" i="11"/>
  <c r="X60" i="11"/>
  <c r="X133" i="11"/>
  <c r="X67" i="11"/>
  <c r="AA67" i="11"/>
  <c r="X140" i="11"/>
  <c r="X212" i="11"/>
  <c r="X473" i="11"/>
  <c r="AA498" i="11"/>
  <c r="X498" i="11"/>
  <c r="AA14" i="11"/>
  <c r="X14" i="11"/>
  <c r="X619" i="11"/>
  <c r="X691" i="11"/>
  <c r="X695" i="11"/>
  <c r="AA592" i="11"/>
  <c r="X592" i="11"/>
  <c r="W201" i="11"/>
  <c r="X542" i="11"/>
  <c r="AA542" i="11"/>
  <c r="X650" i="11"/>
  <c r="X427" i="11"/>
  <c r="AA135" i="11"/>
  <c r="X135" i="11"/>
  <c r="X431" i="11"/>
  <c r="X585" i="11"/>
  <c r="W385" i="11"/>
  <c r="X576" i="11"/>
  <c r="X629" i="11"/>
  <c r="X527" i="11"/>
  <c r="AA527" i="11"/>
  <c r="X196" i="11"/>
  <c r="AA196" i="11"/>
  <c r="X28" i="11"/>
  <c r="X417" i="11"/>
  <c r="X259" i="11"/>
  <c r="AA666" i="11"/>
  <c r="X666" i="11"/>
  <c r="AA673" i="11"/>
  <c r="X673" i="11"/>
  <c r="X704" i="11"/>
  <c r="AA704" i="11"/>
  <c r="X705" i="11"/>
  <c r="X652" i="11"/>
  <c r="AA130" i="11"/>
  <c r="X130" i="11"/>
  <c r="AA179" i="11"/>
  <c r="X179" i="11"/>
  <c r="X89" i="11"/>
  <c r="X193" i="11"/>
  <c r="X474" i="11"/>
  <c r="AA584" i="11"/>
  <c r="X584" i="11"/>
  <c r="X658" i="11"/>
  <c r="AA658" i="11"/>
  <c r="X3" i="11"/>
  <c r="X75" i="11"/>
  <c r="X148" i="11"/>
  <c r="X464" i="11"/>
  <c r="X52" i="11"/>
  <c r="W125" i="11"/>
  <c r="X197" i="11"/>
  <c r="AA197" i="11"/>
  <c r="X424" i="11"/>
  <c r="AA211" i="11"/>
  <c r="X211" i="11"/>
  <c r="AA73" i="11"/>
  <c r="X73" i="11"/>
  <c r="X146" i="11"/>
  <c r="X390" i="11"/>
  <c r="X486" i="11"/>
  <c r="AA508" i="11"/>
  <c r="X508" i="11"/>
  <c r="X50" i="11"/>
  <c r="X499" i="11"/>
  <c r="AA625" i="11"/>
  <c r="X625" i="11"/>
  <c r="X697" i="11"/>
  <c r="X443" i="11"/>
  <c r="X613" i="11"/>
  <c r="AA613" i="11"/>
  <c r="W237" i="11"/>
  <c r="X552" i="11"/>
  <c r="X656" i="11"/>
  <c r="X479" i="11"/>
  <c r="X171" i="11"/>
  <c r="AA554" i="11"/>
  <c r="X554" i="11"/>
  <c r="X409" i="11"/>
  <c r="X647" i="11"/>
  <c r="X623" i="11"/>
  <c r="AA623" i="11"/>
  <c r="X121" i="11"/>
  <c r="X638" i="11"/>
  <c r="X9" i="11"/>
  <c r="AA81" i="11"/>
  <c r="X81" i="11"/>
  <c r="X154" i="11"/>
  <c r="X226" i="11"/>
  <c r="X470" i="11"/>
  <c r="W58" i="11"/>
  <c r="X131" i="11"/>
  <c r="AA203" i="11"/>
  <c r="X203" i="11"/>
  <c r="X447" i="11"/>
  <c r="W41" i="11"/>
  <c r="W114" i="11"/>
  <c r="W186" i="11"/>
  <c r="W258" i="11"/>
  <c r="AA72" i="11"/>
  <c r="X72" i="11"/>
  <c r="X217" i="11"/>
  <c r="X7" i="11"/>
  <c r="X79" i="11"/>
  <c r="X152" i="11"/>
  <c r="AA152" i="11"/>
  <c r="X396" i="11"/>
  <c r="X8" i="11"/>
  <c r="AA497" i="11"/>
  <c r="X497" i="11"/>
  <c r="X624" i="11"/>
  <c r="X696" i="11"/>
  <c r="AA529" i="11"/>
  <c r="X529" i="11"/>
  <c r="W86" i="11"/>
  <c r="X509" i="11"/>
  <c r="AA631" i="11"/>
  <c r="X631" i="11"/>
  <c r="AA703" i="11"/>
  <c r="X703" i="11"/>
  <c r="X461" i="11"/>
  <c r="X525" i="11"/>
  <c r="X490" i="11"/>
  <c r="AA490" i="11"/>
  <c r="X183" i="11"/>
  <c r="X207" i="11"/>
  <c r="AA663" i="11"/>
  <c r="X663" i="11"/>
  <c r="X467" i="11"/>
  <c r="AA606" i="11"/>
  <c r="X606" i="11"/>
  <c r="X433" i="11"/>
  <c r="AA677" i="11"/>
  <c r="X677" i="11"/>
  <c r="AA548" i="11"/>
  <c r="X548" i="11"/>
  <c r="AA653" i="11"/>
  <c r="X653" i="11"/>
  <c r="X51" i="11"/>
  <c r="AA51" i="11"/>
  <c r="AA101" i="11"/>
  <c r="X101" i="11"/>
  <c r="X11" i="11"/>
  <c r="AA49" i="11"/>
  <c r="X49" i="11"/>
  <c r="X421" i="11"/>
  <c r="AA561" i="11"/>
  <c r="X561" i="11"/>
  <c r="AA573" i="11"/>
  <c r="X573" i="11"/>
  <c r="AA544" i="11"/>
  <c r="X544" i="11"/>
  <c r="X251" i="11"/>
  <c r="X162" i="11"/>
  <c r="X265" i="11"/>
  <c r="X442" i="11"/>
  <c r="AA442" i="11"/>
  <c r="AA523" i="11"/>
  <c r="X523" i="11"/>
  <c r="X555" i="11"/>
  <c r="X15" i="11"/>
  <c r="AA232" i="11"/>
  <c r="X232" i="11"/>
  <c r="X404" i="11"/>
  <c r="X64" i="11"/>
  <c r="W137" i="11"/>
  <c r="X209" i="11"/>
  <c r="X453" i="11"/>
  <c r="W47" i="11"/>
  <c r="W120" i="11"/>
  <c r="W192" i="11"/>
  <c r="W264" i="11"/>
  <c r="AA6" i="11"/>
  <c r="X6" i="11"/>
  <c r="AA78" i="11"/>
  <c r="X78" i="11"/>
  <c r="X151" i="11"/>
  <c r="X223" i="11"/>
  <c r="AA13" i="11"/>
  <c r="X13" i="11"/>
  <c r="X85" i="11"/>
  <c r="X158" i="11"/>
  <c r="X230" i="11"/>
  <c r="X44" i="11"/>
  <c r="AA507" i="11"/>
  <c r="X507" i="11"/>
  <c r="AA630" i="11"/>
  <c r="X630" i="11"/>
  <c r="X702" i="11"/>
  <c r="X539" i="11"/>
  <c r="AA123" i="11"/>
  <c r="X123" i="11"/>
  <c r="X519" i="11"/>
  <c r="AA519" i="11"/>
  <c r="X637" i="11"/>
  <c r="AA637" i="11"/>
  <c r="AA469" i="11"/>
  <c r="X469" i="11"/>
  <c r="X488" i="11"/>
  <c r="X608" i="11"/>
  <c r="AA501" i="11"/>
  <c r="X501" i="11"/>
  <c r="X506" i="11"/>
  <c r="AA506" i="11"/>
  <c r="X243" i="11"/>
  <c r="X574" i="11"/>
  <c r="AA669" i="11"/>
  <c r="X669" i="11"/>
  <c r="AA481" i="11"/>
  <c r="X481" i="11"/>
  <c r="AA597" i="11"/>
  <c r="X597" i="11"/>
  <c r="AA616" i="11"/>
  <c r="X616" i="11"/>
  <c r="X688" i="11"/>
  <c r="X701" i="11"/>
  <c r="AA558" i="11"/>
  <c r="X558" i="11"/>
  <c r="AA124" i="11"/>
  <c r="X124" i="11"/>
  <c r="AA173" i="11"/>
  <c r="X173" i="11"/>
  <c r="X83" i="11"/>
  <c r="AA42" i="11"/>
  <c r="X42" i="11"/>
  <c r="AA122" i="11"/>
  <c r="X122" i="11"/>
  <c r="X579" i="11"/>
  <c r="AA579" i="11"/>
  <c r="X591" i="11"/>
  <c r="AA511" i="11"/>
  <c r="X511" i="11"/>
  <c r="AA26" i="11"/>
  <c r="X26" i="11"/>
  <c r="AA177" i="11"/>
  <c r="X177" i="11"/>
  <c r="AA485" i="11"/>
  <c r="X485" i="11"/>
  <c r="AA34" i="11"/>
  <c r="X34" i="11"/>
  <c r="X17" i="11"/>
  <c r="AA48" i="11"/>
  <c r="X48" i="11"/>
  <c r="X128" i="11"/>
  <c r="AA439" i="11"/>
  <c r="X439" i="11"/>
  <c r="AA602" i="11"/>
  <c r="X602" i="11"/>
  <c r="AA521" i="11"/>
  <c r="X521" i="11"/>
  <c r="W62" i="11"/>
  <c r="W213" i="11"/>
  <c r="X219" i="11"/>
  <c r="X410" i="11"/>
  <c r="X482" i="11"/>
  <c r="X70" i="11"/>
  <c r="W143" i="11"/>
  <c r="W53" i="11"/>
  <c r="W126" i="11"/>
  <c r="W198" i="11"/>
  <c r="W270" i="11"/>
  <c r="AA84" i="11"/>
  <c r="X84" i="11"/>
  <c r="X157" i="11"/>
  <c r="X229" i="11"/>
  <c r="X19" i="11"/>
  <c r="X92" i="11"/>
  <c r="X164" i="11"/>
  <c r="AA236" i="11"/>
  <c r="X236" i="11"/>
  <c r="X80" i="11"/>
  <c r="X518" i="11"/>
  <c r="AA636" i="11"/>
  <c r="X636" i="11"/>
  <c r="X505" i="11"/>
  <c r="AA549" i="11"/>
  <c r="X549" i="11"/>
  <c r="AA159" i="11"/>
  <c r="X159" i="11"/>
  <c r="AA643" i="11"/>
  <c r="X643" i="11"/>
  <c r="AA536" i="11"/>
  <c r="X536" i="11"/>
  <c r="AA500" i="11"/>
  <c r="X500" i="11"/>
  <c r="W147" i="11"/>
  <c r="AA593" i="11"/>
  <c r="X593" i="11"/>
  <c r="X512" i="11"/>
  <c r="X279" i="11"/>
  <c r="AA595" i="11"/>
  <c r="X595" i="11"/>
  <c r="X675" i="11"/>
  <c r="W255" i="11"/>
  <c r="AA468" i="11"/>
  <c r="X468" i="11"/>
  <c r="X622" i="11"/>
  <c r="AA622" i="11"/>
  <c r="X694" i="11"/>
  <c r="AA568" i="11"/>
  <c r="X568" i="11"/>
  <c r="W27" i="11"/>
  <c r="W100" i="11"/>
  <c r="W172" i="11"/>
  <c r="W244" i="11"/>
  <c r="X4" i="11"/>
  <c r="AA4" i="11"/>
  <c r="W149" i="11"/>
  <c r="X221" i="11"/>
  <c r="AA59" i="11"/>
  <c r="X59" i="11"/>
  <c r="X132" i="11"/>
  <c r="X18" i="11"/>
  <c r="AA18" i="11"/>
  <c r="X163" i="11"/>
  <c r="X235" i="11"/>
  <c r="AA235" i="11"/>
  <c r="AA25" i="11"/>
  <c r="X25" i="11"/>
  <c r="AA98" i="11"/>
  <c r="X98" i="11"/>
  <c r="X170" i="11"/>
  <c r="X414" i="11"/>
  <c r="AA528" i="11"/>
  <c r="X528" i="11"/>
  <c r="X642" i="11"/>
  <c r="W111" i="11"/>
  <c r="X560" i="11"/>
  <c r="AA540" i="11"/>
  <c r="X540" i="11"/>
  <c r="AA649" i="11"/>
  <c r="X649" i="11"/>
  <c r="X587" i="11"/>
  <c r="AA567" i="11"/>
  <c r="X567" i="11"/>
  <c r="X445" i="11"/>
  <c r="AA603" i="11"/>
  <c r="X603" i="11"/>
  <c r="AA680" i="11"/>
  <c r="X680" i="11"/>
  <c r="X522" i="11"/>
  <c r="X617" i="11"/>
  <c r="AA448" i="11"/>
  <c r="X448" i="11"/>
  <c r="X605" i="11"/>
  <c r="AA681" i="11"/>
  <c r="X681" i="11"/>
  <c r="X32" i="11"/>
  <c r="X493" i="11"/>
  <c r="X628" i="11"/>
  <c r="X700" i="11"/>
  <c r="X415" i="11"/>
  <c r="W33" i="11"/>
  <c r="W106" i="11"/>
  <c r="W178" i="11"/>
  <c r="W250" i="11"/>
  <c r="W10" i="11"/>
  <c r="X82" i="11"/>
  <c r="X155" i="11"/>
  <c r="AA471" i="11"/>
  <c r="X471" i="11"/>
  <c r="X65" i="11"/>
  <c r="AA65" i="11"/>
  <c r="X138" i="11"/>
  <c r="AA138" i="11"/>
  <c r="X382" i="11"/>
  <c r="X24" i="11"/>
  <c r="AA97" i="11"/>
  <c r="X97" i="11"/>
  <c r="X169" i="11"/>
  <c r="AA241" i="11"/>
  <c r="X241" i="11"/>
  <c r="AA31" i="11"/>
  <c r="X31" i="11"/>
  <c r="X104" i="11"/>
  <c r="X176" i="11"/>
  <c r="W153" i="11"/>
  <c r="X538" i="11"/>
  <c r="AA538" i="11"/>
  <c r="AA648" i="11"/>
  <c r="X648" i="11"/>
  <c r="AA570" i="11"/>
  <c r="X570" i="11"/>
  <c r="X38" i="11"/>
  <c r="X659" i="11"/>
  <c r="AA659" i="11"/>
  <c r="AA614" i="11"/>
  <c r="X614" i="11"/>
  <c r="X532" i="11"/>
  <c r="AA641" i="11"/>
  <c r="X641" i="11"/>
  <c r="AA615" i="11"/>
  <c r="X615" i="11"/>
  <c r="AA687" i="11"/>
  <c r="X687" i="11"/>
  <c r="X504" i="11"/>
  <c r="X634" i="11"/>
  <c r="AA634" i="11"/>
  <c r="X706" i="11"/>
  <c r="AA706" i="11"/>
  <c r="W39" i="11"/>
  <c r="W112" i="11"/>
  <c r="W184" i="11"/>
  <c r="W256" i="11"/>
  <c r="AA16" i="11"/>
  <c r="X16" i="11"/>
  <c r="X88" i="11"/>
  <c r="W161" i="11"/>
  <c r="X233" i="11"/>
  <c r="X405" i="11"/>
  <c r="X477" i="11"/>
  <c r="AA477" i="11"/>
  <c r="AA71" i="11"/>
  <c r="X71" i="11"/>
  <c r="AA144" i="11"/>
  <c r="X144" i="11"/>
  <c r="X216" i="11"/>
  <c r="X388" i="11"/>
  <c r="AA30" i="11"/>
  <c r="X30" i="11"/>
  <c r="AA103" i="11"/>
  <c r="X103" i="11"/>
  <c r="AA175" i="11"/>
  <c r="X175" i="11"/>
  <c r="AA247" i="11"/>
  <c r="X247" i="11"/>
  <c r="X426" i="11"/>
  <c r="X559" i="11"/>
  <c r="AA654" i="11"/>
  <c r="X654" i="11"/>
  <c r="AA665" i="11"/>
  <c r="X665" i="11"/>
  <c r="AA580" i="11"/>
  <c r="X580" i="11"/>
  <c r="W267" i="11"/>
  <c r="X661" i="11"/>
  <c r="AA20" i="11"/>
  <c r="X20" i="11"/>
  <c r="X478" i="11"/>
  <c r="AA620" i="11"/>
  <c r="X620" i="11"/>
  <c r="X692" i="11"/>
  <c r="AA692" i="11"/>
  <c r="AA553" i="11"/>
  <c r="X553" i="11"/>
  <c r="X683" i="11"/>
  <c r="AA480" i="11"/>
  <c r="X480" i="11"/>
  <c r="X621" i="11"/>
  <c r="AA693" i="11"/>
  <c r="X693" i="11"/>
  <c r="AA524" i="11"/>
  <c r="X524" i="11"/>
  <c r="AA105" i="11"/>
  <c r="X105" i="11"/>
  <c r="X514" i="11"/>
  <c r="AA640" i="11"/>
  <c r="X640" i="11"/>
  <c r="X609" i="11"/>
  <c r="X90" i="11" l="1"/>
  <c r="X87" i="11"/>
  <c r="X224" i="11"/>
  <c r="X139" i="11"/>
  <c r="X220" i="11"/>
  <c r="X168" i="11"/>
  <c r="Y210" i="11"/>
  <c r="AA210" i="11" s="1"/>
  <c r="Y422" i="11"/>
  <c r="AB90" i="11"/>
  <c r="AD90" i="11" s="1"/>
  <c r="AB66" i="11"/>
  <c r="AD66" i="11" s="1"/>
  <c r="AB168" i="11"/>
  <c r="X248" i="11"/>
  <c r="X205" i="11"/>
  <c r="X582" i="11"/>
  <c r="Y534" i="11"/>
  <c r="AA534" i="11" s="1"/>
  <c r="AB210" i="11"/>
  <c r="Y482" i="11"/>
  <c r="AA482" i="11" s="1"/>
  <c r="AB218" i="11"/>
  <c r="X655" i="11"/>
  <c r="X12" i="11"/>
  <c r="X66" i="11"/>
  <c r="X707" i="11"/>
  <c r="AB534" i="11"/>
  <c r="Y218" i="11"/>
  <c r="AA218" i="11" s="1"/>
  <c r="AB646" i="11"/>
  <c r="Y231" i="11"/>
  <c r="AA231" i="11" s="1"/>
  <c r="X408" i="11"/>
  <c r="Y204" i="11"/>
  <c r="AA204" i="11" s="1"/>
  <c r="Y52" i="11"/>
  <c r="AA52" i="11" s="1"/>
  <c r="Y205" i="11"/>
  <c r="AA205" i="11" s="1"/>
  <c r="Y590" i="11"/>
  <c r="AA590" i="11" s="1"/>
  <c r="X550" i="11"/>
  <c r="X204" i="11"/>
  <c r="Y224" i="11"/>
  <c r="AA224" i="11" s="1"/>
  <c r="AB590" i="11"/>
  <c r="X269" i="11"/>
  <c r="Y476" i="11"/>
  <c r="Y531" i="11"/>
  <c r="AA531" i="11" s="1"/>
  <c r="X436" i="11"/>
  <c r="AB655" i="11"/>
  <c r="Y248" i="11"/>
  <c r="AA248" i="11" s="1"/>
  <c r="Y402" i="11"/>
  <c r="AA402" i="11" s="1"/>
  <c r="Y220" i="11"/>
  <c r="AA220" i="11" s="1"/>
  <c r="Y162" i="11"/>
  <c r="AA162" i="11" s="1"/>
  <c r="Y550" i="11"/>
  <c r="AA550" i="11" s="1"/>
  <c r="Y155" i="11"/>
  <c r="AA155" i="11" s="1"/>
  <c r="X266" i="11"/>
  <c r="X276" i="11"/>
  <c r="X242" i="11"/>
  <c r="Y242" i="11"/>
  <c r="AA242" i="11" s="1"/>
  <c r="X145" i="11"/>
  <c r="Y145" i="11"/>
  <c r="AA145" i="11" s="1"/>
  <c r="Y228" i="11"/>
  <c r="AA228" i="11" s="1"/>
  <c r="Y227" i="11"/>
  <c r="AA227" i="11" s="1"/>
  <c r="X273" i="11"/>
  <c r="X228" i="11"/>
  <c r="AB227" i="11"/>
  <c r="Y278" i="11"/>
  <c r="AA278" i="11" s="1"/>
  <c r="X260" i="11"/>
  <c r="AB206" i="11"/>
  <c r="X262" i="11"/>
  <c r="Y206" i="11"/>
  <c r="AA206" i="11" s="1"/>
  <c r="Y273" i="11"/>
  <c r="AA273" i="11" s="1"/>
  <c r="X202" i="11"/>
  <c r="Y202" i="11"/>
  <c r="AA202" i="11" s="1"/>
  <c r="X383" i="11"/>
  <c r="Y262" i="11"/>
  <c r="AA262" i="11" s="1"/>
  <c r="Y383" i="11"/>
  <c r="AA383" i="11" s="1"/>
  <c r="Y222" i="11"/>
  <c r="AA222" i="11" s="1"/>
  <c r="X222" i="11"/>
  <c r="Y420" i="11"/>
  <c r="AA420" i="11" s="1"/>
  <c r="Y277" i="11"/>
  <c r="AA277" i="11" s="1"/>
  <c r="AB420" i="11"/>
  <c r="AD420" i="11" s="1"/>
  <c r="X387" i="11"/>
  <c r="Y408" i="11"/>
  <c r="AA408" i="11" s="1"/>
  <c r="Y394" i="11"/>
  <c r="AA394" i="11" s="1"/>
  <c r="Y269" i="11"/>
  <c r="AA269" i="11" s="1"/>
  <c r="X278" i="11"/>
  <c r="AB403" i="11"/>
  <c r="X261" i="11"/>
  <c r="Y403" i="11"/>
  <c r="AA403" i="11" s="1"/>
  <c r="Y398" i="11"/>
  <c r="AA398" i="11" s="1"/>
  <c r="X280" i="11"/>
  <c r="AB398" i="11"/>
  <c r="Y430" i="11"/>
  <c r="AA430" i="11" s="1"/>
  <c r="X430" i="11"/>
  <c r="Y438" i="11"/>
  <c r="AA438" i="11" s="1"/>
  <c r="X271" i="11"/>
  <c r="X272" i="11"/>
  <c r="Y404" i="11"/>
  <c r="AA404" i="11" s="1"/>
  <c r="X402" i="11"/>
  <c r="Y272" i="11"/>
  <c r="AA272" i="11" s="1"/>
  <c r="X391" i="11"/>
  <c r="AB277" i="11"/>
  <c r="Y271" i="11"/>
  <c r="AA271" i="11" s="1"/>
  <c r="AB391" i="11"/>
  <c r="Y459" i="11"/>
  <c r="Y424" i="11"/>
  <c r="AA424" i="11" s="1"/>
  <c r="X393" i="11"/>
  <c r="X394" i="11"/>
  <c r="AB387" i="11"/>
  <c r="Y393" i="11"/>
  <c r="AA393" i="11" s="1"/>
  <c r="X399" i="11"/>
  <c r="X395" i="11"/>
  <c r="Y384" i="11"/>
  <c r="AA384" i="11" s="1"/>
  <c r="Y399" i="11"/>
  <c r="AA399" i="11" s="1"/>
  <c r="AB384" i="11"/>
  <c r="Y389" i="11"/>
  <c r="AA389" i="11" s="1"/>
  <c r="Y412" i="11"/>
  <c r="AA412" i="11" s="1"/>
  <c r="AB412" i="11"/>
  <c r="AD412" i="11" s="1"/>
  <c r="X254" i="11"/>
  <c r="Y254" i="11"/>
  <c r="AA254" i="11" s="1"/>
  <c r="X194" i="11"/>
  <c r="Y160" i="11"/>
  <c r="AA160" i="11" s="1"/>
  <c r="Y174" i="11"/>
  <c r="AA174" i="11" s="1"/>
  <c r="AB160" i="11"/>
  <c r="AB174" i="11"/>
  <c r="AB194" i="11"/>
  <c r="AD194" i="11" s="1"/>
  <c r="Y411" i="11"/>
  <c r="AA411" i="11" s="1"/>
  <c r="AB411" i="11"/>
  <c r="AD411" i="11" s="1"/>
  <c r="X195" i="11"/>
  <c r="AB195" i="11"/>
  <c r="AD195" i="11" s="1"/>
  <c r="Y150" i="11"/>
  <c r="AA150" i="11" s="1"/>
  <c r="AB150" i="11"/>
  <c r="Y276" i="11"/>
  <c r="AA276" i="11" s="1"/>
  <c r="X208" i="11"/>
  <c r="Y208" i="11"/>
  <c r="AA208" i="11" s="1"/>
  <c r="Y280" i="11"/>
  <c r="AA280" i="11" s="1"/>
  <c r="AB261" i="11"/>
  <c r="Y421" i="11"/>
  <c r="AA421" i="11" s="1"/>
  <c r="X275" i="11"/>
  <c r="X246" i="11"/>
  <c r="Y246" i="11"/>
  <c r="AA246" i="11" s="1"/>
  <c r="Y136" i="11"/>
  <c r="AA136" i="11" s="1"/>
  <c r="AB136" i="11"/>
  <c r="AD136" i="11" s="1"/>
  <c r="Y266" i="11"/>
  <c r="AA266" i="11" s="1"/>
  <c r="Y275" i="11"/>
  <c r="AA275" i="11" s="1"/>
  <c r="X141" i="11"/>
  <c r="Y686" i="11"/>
  <c r="AA686" i="11" s="1"/>
  <c r="AB686" i="11"/>
  <c r="Y460" i="11"/>
  <c r="AA460" i="11" s="1"/>
  <c r="Y141" i="11"/>
  <c r="AA141" i="11" s="1"/>
  <c r="AB460" i="11"/>
  <c r="AD460" i="11" s="1"/>
  <c r="Y392" i="11"/>
  <c r="AA392" i="11" s="1"/>
  <c r="X392" i="11"/>
  <c r="Y8" i="11"/>
  <c r="AA8" i="11" s="1"/>
  <c r="Y672" i="11"/>
  <c r="AA672" i="11" s="1"/>
  <c r="AB178" i="11"/>
  <c r="Y178" i="11"/>
  <c r="AB100" i="11"/>
  <c r="AD100" i="11" s="1"/>
  <c r="Y100" i="11"/>
  <c r="AA100" i="11" s="1"/>
  <c r="AB437" i="11"/>
  <c r="AD437" i="11" s="1"/>
  <c r="Y437" i="11"/>
  <c r="AA437" i="11" s="1"/>
  <c r="AB22" i="11"/>
  <c r="AD22" i="11" s="1"/>
  <c r="Y22" i="11"/>
  <c r="AA22" i="11" s="1"/>
  <c r="AB161" i="11"/>
  <c r="Y161" i="11"/>
  <c r="AB106" i="11"/>
  <c r="AD106" i="11" s="1"/>
  <c r="Y106" i="11"/>
  <c r="AA106" i="11" s="1"/>
  <c r="AB27" i="11"/>
  <c r="AD27" i="11" s="1"/>
  <c r="Y27" i="11"/>
  <c r="AA27" i="11" s="1"/>
  <c r="AB198" i="11"/>
  <c r="AD198" i="11" s="1"/>
  <c r="Y198" i="11"/>
  <c r="AA198" i="11" s="1"/>
  <c r="AB264" i="11"/>
  <c r="Y264" i="11"/>
  <c r="AA264" i="11" s="1"/>
  <c r="AB41" i="11"/>
  <c r="AD41" i="11" s="1"/>
  <c r="Y41" i="11"/>
  <c r="AA41" i="11" s="1"/>
  <c r="AB252" i="11"/>
  <c r="Y252" i="11"/>
  <c r="AA252" i="11" s="1"/>
  <c r="AB494" i="11"/>
  <c r="Y494" i="11"/>
  <c r="AB456" i="11"/>
  <c r="AD456" i="11" s="1"/>
  <c r="Y456" i="11"/>
  <c r="AA456" i="11" s="1"/>
  <c r="AB557" i="11"/>
  <c r="Y557" i="11"/>
  <c r="AA557" i="11" s="1"/>
  <c r="Y679" i="11"/>
  <c r="AA679" i="11" s="1"/>
  <c r="AB679" i="11"/>
  <c r="AB182" i="11"/>
  <c r="AD182" i="11" s="1"/>
  <c r="Y182" i="11"/>
  <c r="AA182" i="11" s="1"/>
  <c r="AB215" i="11"/>
  <c r="Y215" i="11"/>
  <c r="AA215" i="11" s="1"/>
  <c r="AB53" i="11"/>
  <c r="AD53" i="11" s="1"/>
  <c r="Y53" i="11"/>
  <c r="AA53" i="11" s="1"/>
  <c r="AB120" i="11"/>
  <c r="AD120" i="11" s="1"/>
  <c r="Y120" i="11"/>
  <c r="AA120" i="11" s="1"/>
  <c r="AB201" i="11"/>
  <c r="AD201" i="11" s="1"/>
  <c r="Y201" i="11"/>
  <c r="AA201" i="11" s="1"/>
  <c r="X22" i="11"/>
  <c r="AB110" i="11"/>
  <c r="AD110" i="11" s="1"/>
  <c r="Y110" i="11"/>
  <c r="AA110" i="11" s="1"/>
  <c r="X108" i="11"/>
  <c r="AB108" i="11"/>
  <c r="AD108" i="11" s="1"/>
  <c r="Y108" i="11"/>
  <c r="AA108" i="11" s="1"/>
  <c r="AB189" i="11"/>
  <c r="Y189" i="11"/>
  <c r="AA189" i="11" s="1"/>
  <c r="AB520" i="11"/>
  <c r="Y520" i="11"/>
  <c r="AA520" i="11" s="1"/>
  <c r="AB533" i="11"/>
  <c r="Y533" i="11"/>
  <c r="AA533" i="11" s="1"/>
  <c r="Y583" i="11"/>
  <c r="AA583" i="11" s="1"/>
  <c r="AB583" i="11"/>
  <c r="AB70" i="11"/>
  <c r="AD70" i="11" s="1"/>
  <c r="Y70" i="11"/>
  <c r="AA70" i="11" s="1"/>
  <c r="AB47" i="11"/>
  <c r="AD47" i="11" s="1"/>
  <c r="Y47" i="11"/>
  <c r="AB125" i="11"/>
  <c r="AD125" i="11" s="1"/>
  <c r="Y125" i="11"/>
  <c r="AA125" i="11" s="1"/>
  <c r="AB37" i="11"/>
  <c r="AD37" i="11" s="1"/>
  <c r="Y37" i="11"/>
  <c r="AA37" i="11" s="1"/>
  <c r="AB35" i="11"/>
  <c r="AD35" i="11" s="1"/>
  <c r="Y35" i="11"/>
  <c r="AA35" i="11" s="1"/>
  <c r="AB88" i="11"/>
  <c r="AD88" i="11" s="1"/>
  <c r="Y88" i="11"/>
  <c r="AA88" i="11" s="1"/>
  <c r="AB578" i="11"/>
  <c r="Y578" i="11"/>
  <c r="AA578" i="11" s="1"/>
  <c r="AB678" i="11"/>
  <c r="Y678" i="11"/>
  <c r="AB682" i="11"/>
  <c r="Y682" i="11"/>
  <c r="AB114" i="11"/>
  <c r="AD114" i="11" s="1"/>
  <c r="Y114" i="11"/>
  <c r="AA114" i="11" s="1"/>
  <c r="Y571" i="11"/>
  <c r="AB571" i="11"/>
  <c r="AB68" i="11"/>
  <c r="AD68" i="11" s="1"/>
  <c r="Y68" i="11"/>
  <c r="AA68" i="11" s="1"/>
  <c r="AB149" i="11"/>
  <c r="Y149" i="11"/>
  <c r="AA149" i="11" s="1"/>
  <c r="Y86" i="11"/>
  <c r="AA86" i="11" s="1"/>
  <c r="AB86" i="11"/>
  <c r="AD86" i="11" s="1"/>
  <c r="AB129" i="11"/>
  <c r="AD129" i="11" s="1"/>
  <c r="Y129" i="11"/>
  <c r="AA129" i="11" s="1"/>
  <c r="Y38" i="11"/>
  <c r="AA38" i="11" s="1"/>
  <c r="AB38" i="11"/>
  <c r="AD38" i="11" s="1"/>
  <c r="AB416" i="11"/>
  <c r="AD416" i="11" s="1"/>
  <c r="Y416" i="11"/>
  <c r="AA416" i="11" s="1"/>
  <c r="AB600" i="11"/>
  <c r="Y600" i="11"/>
  <c r="AA600" i="11" s="1"/>
  <c r="Y607" i="11"/>
  <c r="AB607" i="11"/>
  <c r="AB700" i="11"/>
  <c r="Y700" i="11"/>
  <c r="AA700" i="11" s="1"/>
  <c r="AB119" i="11"/>
  <c r="AD119" i="11" s="1"/>
  <c r="Y119" i="11"/>
  <c r="AA119" i="11" s="1"/>
  <c r="AB577" i="11"/>
  <c r="Y577" i="11"/>
  <c r="AA577" i="11" s="1"/>
  <c r="AB180" i="11"/>
  <c r="Y180" i="11"/>
  <c r="AA180" i="11" s="1"/>
  <c r="AB256" i="11"/>
  <c r="Y256" i="11"/>
  <c r="AA256" i="11" s="1"/>
  <c r="X215" i="11"/>
  <c r="AB76" i="11"/>
  <c r="AD76" i="11" s="1"/>
  <c r="Y76" i="11"/>
  <c r="AA76" i="11" s="1"/>
  <c r="AB492" i="11"/>
  <c r="AD492" i="11" s="1"/>
  <c r="Y492" i="11"/>
  <c r="AB413" i="11"/>
  <c r="AD413" i="11" s="1"/>
  <c r="Y413" i="11"/>
  <c r="AA413" i="11" s="1"/>
  <c r="AB564" i="11"/>
  <c r="Y564" i="11"/>
  <c r="AA564" i="11" s="1"/>
  <c r="AB628" i="11"/>
  <c r="Y628" i="11"/>
  <c r="AA628" i="11" s="1"/>
  <c r="AB281" i="11"/>
  <c r="Y281" i="11"/>
  <c r="AA281" i="11" s="1"/>
  <c r="Y111" i="11"/>
  <c r="AA111" i="11" s="1"/>
  <c r="AB111" i="11"/>
  <c r="AD111" i="11" s="1"/>
  <c r="AB184" i="11"/>
  <c r="AD184" i="11" s="1"/>
  <c r="Y184" i="11"/>
  <c r="AA184" i="11" s="1"/>
  <c r="X238" i="11"/>
  <c r="AB238" i="11"/>
  <c r="Y238" i="11"/>
  <c r="AA238" i="11" s="1"/>
  <c r="AB401" i="11"/>
  <c r="Y401" i="11"/>
  <c r="AA401" i="11" s="1"/>
  <c r="AB662" i="11"/>
  <c r="Y662" i="11"/>
  <c r="AB423" i="11"/>
  <c r="AD423" i="11" s="1"/>
  <c r="Y423" i="11"/>
  <c r="AA423" i="11" s="1"/>
  <c r="AB657" i="11"/>
  <c r="Y657" i="11"/>
  <c r="AB599" i="11"/>
  <c r="Y599" i="11"/>
  <c r="AA599" i="11" s="1"/>
  <c r="AB537" i="11"/>
  <c r="Y537" i="11"/>
  <c r="AA537" i="11" s="1"/>
  <c r="AB270" i="11"/>
  <c r="Y270" i="11"/>
  <c r="AA270" i="11" s="1"/>
  <c r="AB670" i="11"/>
  <c r="Y670" i="11"/>
  <c r="AB385" i="11"/>
  <c r="Y385" i="11"/>
  <c r="AA385" i="11" s="1"/>
  <c r="AB674" i="11"/>
  <c r="Y674" i="11"/>
  <c r="Y267" i="11"/>
  <c r="AA267" i="11" s="1"/>
  <c r="AB267" i="11"/>
  <c r="AB112" i="11"/>
  <c r="AD112" i="11" s="1"/>
  <c r="Y112" i="11"/>
  <c r="AB143" i="11"/>
  <c r="AD143" i="11" s="1"/>
  <c r="Y143" i="11"/>
  <c r="AA143" i="11" s="1"/>
  <c r="AB237" i="11"/>
  <c r="Y237" i="11"/>
  <c r="AA237" i="11" s="1"/>
  <c r="AB166" i="11"/>
  <c r="Y166" i="11"/>
  <c r="AA166" i="11" s="1"/>
  <c r="AB200" i="11"/>
  <c r="AD200" i="11" s="1"/>
  <c r="Y200" i="11"/>
  <c r="AA200" i="11" s="1"/>
  <c r="AB562" i="11"/>
  <c r="Y562" i="11"/>
  <c r="AA562" i="11" s="1"/>
  <c r="Y667" i="11"/>
  <c r="AA667" i="11" s="1"/>
  <c r="AB667" i="11"/>
  <c r="AB690" i="11"/>
  <c r="Y690" i="11"/>
  <c r="AA690" i="11" s="1"/>
  <c r="AB44" i="11"/>
  <c r="AD44" i="11" s="1"/>
  <c r="Y44" i="11"/>
  <c r="AA44" i="11" s="1"/>
  <c r="Y462" i="11"/>
  <c r="AA462" i="11" s="1"/>
  <c r="AB462" i="11"/>
  <c r="AD462" i="11" s="1"/>
  <c r="AB483" i="11"/>
  <c r="AD483" i="11" s="1"/>
  <c r="Y483" i="11"/>
  <c r="AA483" i="11" s="1"/>
  <c r="AB39" i="11"/>
  <c r="AD39" i="11" s="1"/>
  <c r="Y39" i="11"/>
  <c r="AB153" i="11"/>
  <c r="AD153" i="11" s="1"/>
  <c r="Y153" i="11"/>
  <c r="AA153" i="11" s="1"/>
  <c r="AB213" i="11"/>
  <c r="Y213" i="11"/>
  <c r="AA213" i="11" s="1"/>
  <c r="AB137" i="11"/>
  <c r="AD137" i="11" s="1"/>
  <c r="Y137" i="11"/>
  <c r="AB113" i="11"/>
  <c r="AD113" i="11" s="1"/>
  <c r="Y113" i="11"/>
  <c r="AA113" i="11" s="1"/>
  <c r="X94" i="11"/>
  <c r="AB94" i="11"/>
  <c r="AD94" i="11" s="1"/>
  <c r="Y94" i="11"/>
  <c r="AA94" i="11" s="1"/>
  <c r="AB128" i="11"/>
  <c r="AD128" i="11" s="1"/>
  <c r="Y128" i="11"/>
  <c r="AA128" i="11" s="1"/>
  <c r="AB249" i="11"/>
  <c r="Y249" i="11"/>
  <c r="AA249" i="11" s="1"/>
  <c r="AB586" i="11"/>
  <c r="Y586" i="11"/>
  <c r="AA586" i="11" s="1"/>
  <c r="AB601" i="11"/>
  <c r="Y601" i="11"/>
  <c r="AA601" i="11" s="1"/>
  <c r="AB618" i="11"/>
  <c r="Y618" i="11"/>
  <c r="AA618" i="11" s="1"/>
  <c r="Y535" i="11"/>
  <c r="AA535" i="11" s="1"/>
  <c r="AB535" i="11"/>
  <c r="Y255" i="11"/>
  <c r="AA255" i="11" s="1"/>
  <c r="AB255" i="11"/>
  <c r="AB43" i="11"/>
  <c r="AD43" i="11" s="1"/>
  <c r="Y43" i="11"/>
  <c r="AA43" i="11" s="1"/>
  <c r="AB516" i="11"/>
  <c r="Y516" i="11"/>
  <c r="AA516" i="11" s="1"/>
  <c r="AB645" i="11"/>
  <c r="Y645" i="11"/>
  <c r="AA645" i="11" s="1"/>
  <c r="AB10" i="11"/>
  <c r="AD10" i="11" s="1"/>
  <c r="Y10" i="11"/>
  <c r="AA10" i="11" s="1"/>
  <c r="AB244" i="11"/>
  <c r="Y244" i="11"/>
  <c r="AA244" i="11" s="1"/>
  <c r="Y62" i="11"/>
  <c r="AA62" i="11" s="1"/>
  <c r="AB62" i="11"/>
  <c r="AD62" i="11" s="1"/>
  <c r="AB258" i="11"/>
  <c r="Y258" i="11"/>
  <c r="AA258" i="11" s="1"/>
  <c r="AB58" i="11"/>
  <c r="AD58" i="11" s="1"/>
  <c r="Y58" i="11"/>
  <c r="AA58" i="11" s="1"/>
  <c r="AB188" i="11"/>
  <c r="Y188" i="11"/>
  <c r="AA188" i="11" s="1"/>
  <c r="AB21" i="11"/>
  <c r="AD21" i="11" s="1"/>
  <c r="Y21" i="11"/>
  <c r="AA21" i="11" s="1"/>
  <c r="AB55" i="11"/>
  <c r="AD55" i="11" s="1"/>
  <c r="Y55" i="11"/>
  <c r="AA55" i="11" s="1"/>
  <c r="Y99" i="11"/>
  <c r="AA99" i="11" s="1"/>
  <c r="AB99" i="11"/>
  <c r="AD99" i="11" s="1"/>
  <c r="AB546" i="11"/>
  <c r="Y546" i="11"/>
  <c r="AA546" i="11" s="1"/>
  <c r="AB432" i="11"/>
  <c r="AD432" i="11" s="1"/>
  <c r="Y432" i="11"/>
  <c r="AA432" i="11" s="1"/>
  <c r="AB588" i="11"/>
  <c r="Y588" i="11"/>
  <c r="AA588" i="11" s="1"/>
  <c r="AB239" i="11"/>
  <c r="Y239" i="11"/>
  <c r="AA239" i="11" s="1"/>
  <c r="AB33" i="11"/>
  <c r="AD33" i="11" s="1"/>
  <c r="Y33" i="11"/>
  <c r="AA33" i="11" s="1"/>
  <c r="AB126" i="11"/>
  <c r="AD126" i="11" s="1"/>
  <c r="Y126" i="11"/>
  <c r="AA126" i="11" s="1"/>
  <c r="AB192" i="11"/>
  <c r="AD192" i="11" s="1"/>
  <c r="Y192" i="11"/>
  <c r="AA192" i="11" s="1"/>
  <c r="X400" i="11"/>
  <c r="AB400" i="11"/>
  <c r="Y400" i="11"/>
  <c r="AA400" i="11" s="1"/>
  <c r="X68" i="11"/>
  <c r="AB250" i="11"/>
  <c r="Y250" i="11"/>
  <c r="AA250" i="11" s="1"/>
  <c r="AB172" i="11"/>
  <c r="AD172" i="11" s="1"/>
  <c r="Y172" i="11"/>
  <c r="AA172" i="11" s="1"/>
  <c r="Y147" i="11"/>
  <c r="AA147" i="11" s="1"/>
  <c r="AB147" i="11"/>
  <c r="AB186" i="11"/>
  <c r="Y186" i="11"/>
  <c r="AA186" i="11" s="1"/>
  <c r="AB116" i="11"/>
  <c r="AD116" i="11" s="1"/>
  <c r="Y116" i="11"/>
  <c r="AA116" i="11" s="1"/>
  <c r="AB167" i="11"/>
  <c r="Y167" i="11"/>
  <c r="AA167" i="11" s="1"/>
  <c r="AB406" i="11"/>
  <c r="Y406" i="11"/>
  <c r="AA406" i="11" s="1"/>
  <c r="AB455" i="11"/>
  <c r="AD455" i="11" s="1"/>
  <c r="Y455" i="11"/>
  <c r="AA455" i="11" s="1"/>
  <c r="AB441" i="11"/>
  <c r="AD441" i="11" s="1"/>
  <c r="Y441" i="11"/>
  <c r="AA441" i="11" s="1"/>
  <c r="AB541" i="11"/>
  <c r="Y541" i="11"/>
  <c r="AA541" i="11" s="1"/>
  <c r="Y475" i="11"/>
  <c r="AA475" i="11" s="1"/>
  <c r="AB475" i="11"/>
  <c r="AD475" i="11" s="1"/>
  <c r="AB95" i="11"/>
  <c r="AD95" i="11" s="1"/>
  <c r="Y95" i="11"/>
  <c r="AA95" i="11" s="1"/>
  <c r="AB117" i="11"/>
  <c r="AD117" i="11" s="1"/>
  <c r="Y117" i="11"/>
  <c r="AA117" i="11" s="1"/>
  <c r="X182" i="11"/>
  <c r="X281" i="11"/>
  <c r="X510" i="11"/>
  <c r="X446" i="11"/>
  <c r="AA454" i="11"/>
  <c r="X401" i="11"/>
  <c r="X180" i="11"/>
  <c r="X689" i="11"/>
  <c r="X672" i="11"/>
  <c r="X129" i="11"/>
  <c r="X679" i="11"/>
  <c r="X166" i="11"/>
  <c r="X577" i="11"/>
  <c r="X455" i="11"/>
  <c r="X112" i="11"/>
  <c r="AA112" i="11"/>
  <c r="AA513" i="11"/>
  <c r="X513" i="11"/>
  <c r="X250" i="11"/>
  <c r="X149" i="11"/>
  <c r="AA137" i="11"/>
  <c r="X137" i="11"/>
  <c r="X682" i="11"/>
  <c r="AA682" i="11"/>
  <c r="X258" i="11"/>
  <c r="X58" i="11"/>
  <c r="X546" i="11"/>
  <c r="X456" i="11"/>
  <c r="X113" i="11"/>
  <c r="X586" i="11"/>
  <c r="X437" i="11"/>
  <c r="X33" i="11"/>
  <c r="X503" i="11"/>
  <c r="AA503" i="11"/>
  <c r="X126" i="11"/>
  <c r="X213" i="11"/>
  <c r="AA451" i="11"/>
  <c r="X451" i="11"/>
  <c r="X192" i="11"/>
  <c r="AA476" i="11"/>
  <c r="X476" i="11"/>
  <c r="X41" i="11"/>
  <c r="X413" i="11"/>
  <c r="X475" i="11"/>
  <c r="AA435" i="11"/>
  <c r="X435" i="11"/>
  <c r="X526" i="11"/>
  <c r="AA526" i="11"/>
  <c r="X39" i="11"/>
  <c r="AA39" i="11"/>
  <c r="X599" i="11"/>
  <c r="X578" i="11"/>
  <c r="AA589" i="11"/>
  <c r="X589" i="11"/>
  <c r="X557" i="11"/>
  <c r="X53" i="11"/>
  <c r="X62" i="11"/>
  <c r="X120" i="11"/>
  <c r="X667" i="11"/>
  <c r="X385" i="11"/>
  <c r="AA494" i="11"/>
  <c r="X494" i="11"/>
  <c r="X466" i="11"/>
  <c r="AA466" i="11"/>
  <c r="X520" i="11"/>
  <c r="X416" i="11"/>
  <c r="AA459" i="11"/>
  <c r="X459" i="11"/>
  <c r="AA47" i="11"/>
  <c r="X47" i="11"/>
  <c r="X662" i="11"/>
  <c r="AA662" i="11"/>
  <c r="AA596" i="11"/>
  <c r="X596" i="11"/>
  <c r="X441" i="11"/>
  <c r="X423" i="11"/>
  <c r="AA581" i="11"/>
  <c r="X581" i="11"/>
  <c r="X432" i="11"/>
  <c r="X244" i="11"/>
  <c r="X530" i="11"/>
  <c r="AA530" i="11"/>
  <c r="AA668" i="11"/>
  <c r="X668" i="11"/>
  <c r="X562" i="11"/>
  <c r="AA449" i="11"/>
  <c r="X449" i="11"/>
  <c r="X588" i="11"/>
  <c r="X201" i="11"/>
  <c r="AA419" i="11"/>
  <c r="X419" i="11"/>
  <c r="AA463" i="11"/>
  <c r="X463" i="11"/>
  <c r="X264" i="11"/>
  <c r="X465" i="11"/>
  <c r="AA465" i="11"/>
  <c r="X172" i="11"/>
  <c r="AA674" i="11"/>
  <c r="X674" i="11"/>
  <c r="X583" i="11"/>
  <c r="X86" i="11"/>
  <c r="AA657" i="11"/>
  <c r="X657" i="11"/>
  <c r="X237" i="11"/>
  <c r="AA651" i="11"/>
  <c r="X651" i="11"/>
  <c r="X645" i="11"/>
  <c r="X186" i="11"/>
  <c r="X114" i="11"/>
  <c r="AA161" i="11"/>
  <c r="X161" i="11"/>
  <c r="AA571" i="11"/>
  <c r="X571" i="11"/>
  <c r="X100" i="11"/>
  <c r="X255" i="11"/>
  <c r="X543" i="11"/>
  <c r="AA543" i="11"/>
  <c r="AA684" i="11"/>
  <c r="X684" i="11"/>
  <c r="X119" i="11"/>
  <c r="X533" i="11"/>
  <c r="X601" i="11"/>
  <c r="X188" i="11"/>
  <c r="AA178" i="11"/>
  <c r="X178" i="11"/>
  <c r="X270" i="11"/>
  <c r="AA607" i="11"/>
  <c r="X607" i="11"/>
  <c r="AA676" i="11"/>
  <c r="X676" i="11"/>
  <c r="X462" i="11"/>
  <c r="X541" i="11"/>
  <c r="X267" i="11"/>
  <c r="AA428" i="11"/>
  <c r="X428" i="11"/>
  <c r="X153" i="11"/>
  <c r="X27" i="11"/>
  <c r="AA492" i="11"/>
  <c r="X492" i="11"/>
  <c r="X610" i="11"/>
  <c r="AA610" i="11"/>
  <c r="X116" i="11"/>
  <c r="X167" i="11"/>
  <c r="X198" i="11"/>
  <c r="X256" i="11"/>
  <c r="X10" i="11"/>
  <c r="X111" i="11"/>
  <c r="X425" i="11"/>
  <c r="AA425" i="11"/>
  <c r="X143" i="11"/>
  <c r="X564" i="11"/>
  <c r="X690" i="11"/>
  <c r="X125" i="11"/>
  <c r="AA678" i="11"/>
  <c r="X678" i="11"/>
  <c r="X43" i="11"/>
  <c r="X106" i="11"/>
  <c r="X184" i="11"/>
  <c r="AA422" i="11"/>
  <c r="X422" i="11"/>
  <c r="X147" i="11"/>
  <c r="X618" i="11"/>
  <c r="X670" i="11"/>
  <c r="AA670" i="11"/>
  <c r="AA604" i="11"/>
  <c r="X604" i="11"/>
  <c r="AA594" i="11"/>
  <c r="X594" i="11"/>
  <c r="X60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<sst xmlns="http://schemas.openxmlformats.org/spreadsheetml/2006/main" count="17719" uniqueCount="8881">
  <si>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</si>
  <si>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</si>
  <si>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</si>
  <si>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</si>
  <si>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</si>
  <si>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</si>
  <si>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</si>
  <si>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</si>
  <si>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</si>
  <si>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</si>
  <si>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</si>
  <si>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</si>
  <si>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</si>
  <si>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</si>
  <si>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</si>
  <si>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</si>
  <si>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</si>
  <si>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</si>
  <si>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</si>
  <si>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</si>
  <si>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</si>
  <si>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</si>
  <si>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</si>
  <si>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</si>
  <si>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</si>
  <si>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</si>
  <si>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</si>
  <si>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</si>
  <si>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</si>
  <si>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</si>
  <si>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</si>
  <si>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</si>
  <si>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</si>
  <si>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</si>
  <si>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</si>
  <si>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</si>
  <si>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</si>
  <si>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</si>
  <si>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</si>
  <si>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</si>
  <si>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</si>
  <si>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</si>
  <si>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</si>
  <si>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</si>
  <si>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</si>
  <si>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</si>
  <si>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</si>
  <si>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</si>
  <si>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</si>
  <si>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</si>
  <si>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</si>
  <si>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</si>
  <si>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</si>
  <si>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</si>
  <si>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</si>
  <si>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</si>
  <si>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</si>
  <si>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</si>
  <si>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</si>
  <si>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</si>
  <si>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</si>
  <si>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</si>
  <si>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</si>
  <si>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</si>
  <si>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</si>
  <si>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</si>
  <si>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</si>
  <si>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</si>
  <si>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</si>
  <si>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</si>
  <si>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</si>
  <si>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</si>
  <si>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</si>
  <si>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</si>
  <si>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</si>
  <si>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</si>
  <si>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</si>
  <si>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</si>
  <si>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</si>
  <si>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</si>
  <si>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</si>
  <si>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</si>
  <si>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</si>
  <si>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</si>
  <si>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</si>
  <si>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</si>
  <si>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</si>
  <si>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</si>
  <si>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</si>
  <si>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</si>
  <si>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</si>
  <si>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</si>
  <si>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</si>
  <si>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</si>
  <si>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</si>
  <si>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</si>
  <si>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</si>
  <si>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</si>
  <si>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</si>
  <si>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</si>
  <si>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</si>
  <si>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</si>
  <si>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</si>
  <si>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</si>
  <si>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</si>
  <si>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</si>
  <si>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</si>
  <si>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</si>
  <si>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</si>
  <si>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</si>
  <si>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</si>
  <si>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</si>
  <si>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</si>
  <si>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</si>
  <si>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</si>
  <si>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</si>
  <si>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</si>
  <si>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</si>
  <si>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</si>
  <si>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</si>
  <si>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</si>
  <si>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</si>
  <si>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</si>
  <si>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</si>
  <si>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</si>
  <si>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</si>
  <si>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</si>
  <si>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</si>
  <si>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</si>
  <si>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</si>
  <si>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</si>
  <si>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</si>
  <si>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</si>
  <si>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</si>
  <si>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</si>
  <si>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</si>
  <si>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</si>
  <si>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</si>
  <si>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</si>
  <si>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</si>
  <si>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</si>
  <si>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</si>
  <si>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</si>
  <si>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</si>
  <si>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</si>
  <si>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</si>
  <si>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</si>
  <si>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</si>
  <si>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</si>
  <si>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</si>
  <si>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</si>
  <si>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</si>
  <si>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</si>
  <si>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</si>
  <si>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</si>
  <si>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</si>
  <si>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</si>
  <si>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</si>
  <si>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</si>
  <si>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</si>
  <si>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</si>
  <si>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</si>
  <si>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</si>
  <si>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</si>
  <si>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</si>
  <si>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</si>
  <si>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</si>
  <si>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</si>
  <si>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</si>
  <si>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</si>
  <si>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</si>
  <si>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</si>
  <si>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</si>
  <si>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</si>
  <si>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</si>
  <si>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</si>
  <si>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</si>
  <si>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</si>
  <si>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</si>
  <si>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</si>
  <si>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</si>
  <si>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</si>
  <si>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</si>
  <si>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</si>
  <si>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</si>
  <si>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</si>
  <si>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</si>
  <si>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</si>
  <si>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</si>
  <si>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</si>
  <si>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</si>
  <si>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</si>
  <si>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</si>
  <si>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</si>
  <si>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</si>
  <si>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</si>
  <si>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</si>
  <si>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</si>
  <si>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</si>
  <si>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</si>
  <si>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</si>
  <si>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</si>
  <si>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</si>
  <si>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</si>
  <si>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</si>
  <si>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</si>
  <si>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</si>
  <si>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</si>
  <si>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</si>
  <si>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</si>
  <si>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</si>
  <si>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</si>
  <si>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</si>
  <si>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</si>
  <si>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</si>
  <si>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</si>
  <si>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</si>
  <si>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</si>
  <si>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</si>
  <si>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</si>
  <si>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</si>
  <si>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</si>
  <si>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</si>
  <si>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</si>
  <si>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</si>
  <si>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</si>
  <si>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</si>
  <si>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</si>
  <si>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</si>
  <si>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</si>
  <si>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</si>
  <si>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</si>
  <si>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</si>
  <si>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</si>
  <si>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</si>
  <si>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</si>
  <si>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</si>
  <si>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</si>
  <si>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</si>
  <si>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</si>
  <si>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</si>
  <si>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</si>
  <si>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</si>
  <si>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</si>
  <si>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</si>
  <si>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</si>
  <si>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</si>
  <si>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</si>
  <si>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</si>
  <si>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</si>
  <si>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</si>
  <si>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</si>
  <si>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</si>
  <si>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</si>
  <si>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</si>
  <si>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</si>
  <si>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</si>
  <si>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</si>
  <si>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</si>
  <si>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</si>
  <si>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</si>
  <si>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</si>
  <si>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</si>
  <si>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</si>
  <si>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</si>
  <si>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</si>
  <si>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</si>
  <si>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</si>
  <si>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</si>
  <si>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</si>
  <si>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</si>
  <si>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</si>
  <si>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</si>
  <si>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</si>
  <si>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</si>
  <si>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</si>
  <si>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</si>
  <si>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</si>
  <si>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</si>
  <si>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</si>
  <si>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</si>
  <si>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</si>
  <si>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</si>
  <si>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</si>
  <si>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</si>
  <si>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</si>
  <si>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</si>
  <si>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</si>
  <si>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</si>
  <si>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</si>
  <si>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</si>
  <si>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</si>
  <si>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</si>
  <si>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</si>
  <si>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</si>
  <si>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</si>
  <si>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</si>
  <si>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</si>
  <si>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</si>
  <si>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</si>
  <si>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</si>
  <si>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</si>
  <si>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</si>
  <si>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</si>
  <si>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</si>
  <si>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</si>
  <si>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</si>
  <si>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</si>
  <si>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</si>
  <si>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</si>
  <si>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</si>
  <si>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</si>
  <si>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</si>
  <si>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</si>
  <si>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</si>
  <si>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</si>
  <si>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</si>
  <si>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</si>
  <si>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</si>
  <si>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</si>
  <si>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</si>
  <si>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</si>
  <si>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</si>
  <si>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</si>
  <si>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</si>
  <si>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</si>
  <si>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</si>
  <si>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</si>
  <si>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</si>
  <si>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</si>
  <si>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</si>
  <si>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</si>
  <si>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</si>
  <si>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</si>
  <si>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</si>
  <si>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</si>
  <si>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</si>
  <si>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</si>
  <si>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</si>
  <si>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</si>
  <si>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</si>
  <si>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</si>
  <si>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</si>
  <si>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</si>
  <si>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</si>
  <si>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</si>
  <si>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</si>
  <si>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</si>
  <si>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</si>
  <si>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</si>
  <si>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</si>
  <si>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</si>
  <si>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</si>
  <si>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</si>
  <si>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</si>
  <si>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</si>
  <si>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</si>
  <si>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</si>
  <si>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</si>
  <si>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</si>
  <si>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</si>
  <si>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</si>
  <si>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</si>
  <si>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</si>
  <si>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</si>
  <si>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</si>
  <si>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</si>
  <si>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</si>
  <si>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</si>
  <si>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</si>
  <si>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</si>
  <si>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</si>
  <si>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</si>
  <si>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</si>
  <si>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</si>
  <si>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</si>
  <si>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</si>
  <si>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</si>
  <si>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</si>
  <si>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</si>
  <si>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</si>
  <si>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</si>
  <si>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</si>
  <si>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</si>
  <si>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</si>
  <si>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</si>
  <si>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</si>
  <si>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</si>
  <si>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</si>
  <si>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</si>
  <si>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</si>
  <si>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</si>
  <si>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</si>
  <si>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</si>
  <si>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</si>
  <si>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</si>
  <si>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</si>
  <si>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</si>
  <si>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</si>
  <si>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</si>
  <si>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</si>
  <si>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</si>
  <si>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</si>
  <si>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</si>
  <si>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</si>
  <si>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</si>
  <si>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</si>
  <si>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</si>
  <si>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</si>
  <si>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</si>
  <si>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</si>
  <si>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</si>
  <si>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</si>
  <si>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</si>
  <si>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</si>
  <si>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</si>
  <si>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</si>
  <si>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</si>
  <si>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</si>
  <si>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</si>
  <si>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</si>
  <si>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</si>
  <si>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</si>
  <si>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</si>
  <si>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</si>
  <si>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</si>
  <si>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</si>
  <si>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</si>
  <si>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</si>
  <si>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</si>
  <si>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</si>
  <si>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</si>
  <si>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</si>
  <si>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</si>
  <si>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</si>
  <si>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</si>
  <si>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</si>
  <si>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</si>
  <si>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</si>
  <si>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</si>
  <si>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</si>
  <si>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</si>
  <si>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</si>
  <si>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</si>
  <si>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</si>
  <si>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</si>
  <si>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</si>
  <si>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</si>
  <si>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</si>
  <si>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</si>
  <si>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</si>
  <si>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</si>
  <si>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</si>
  <si>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</si>
  <si>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</si>
  <si>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</si>
  <si>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</si>
  <si>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</si>
  <si>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</si>
  <si>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</si>
  <si>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</si>
  <si>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</si>
  <si>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</si>
  <si>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</si>
  <si>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</si>
  <si>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</si>
  <si>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</si>
  <si>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</si>
  <si>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</si>
  <si>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</si>
  <si>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</si>
  <si>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</si>
  <si>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</si>
  <si>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</si>
  <si>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</si>
  <si>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</si>
  <si>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</si>
  <si>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</si>
  <si>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</si>
  <si>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</si>
  <si>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</si>
  <si>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</si>
  <si>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</si>
  <si>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</si>
  <si>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</si>
  <si>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</si>
  <si>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</si>
  <si>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</si>
  <si>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</si>
  <si>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</si>
  <si>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</si>
  <si>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</si>
  <si>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</si>
  <si>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</si>
  <si>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</si>
  <si>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</si>
  <si>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</si>
  <si>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</si>
  <si>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</si>
  <si>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</si>
  <si>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</si>
  <si>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</si>
  <si>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</si>
  <si>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</si>
  <si>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</si>
  <si>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</si>
  <si>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</si>
  <si>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</si>
  <si>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</si>
  <si>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</si>
  <si>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</si>
  <si>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</si>
  <si>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</si>
  <si>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</si>
  <si>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</si>
  <si>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</si>
  <si>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</si>
  <si>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</si>
  <si>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</si>
  <si>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</si>
  <si>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</si>
  <si>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</si>
  <si>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</si>
  <si>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</si>
  <si>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</si>
  <si>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</si>
  <si>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</si>
  <si>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</si>
  <si>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</si>
  <si>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</si>
  <si>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</si>
  <si>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</si>
  <si>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</si>
  <si>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</si>
  <si>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</si>
  <si>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</si>
  <si>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</si>
  <si>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</si>
  <si>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</si>
  <si>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</si>
  <si>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</si>
  <si>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</si>
  <si>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</si>
  <si>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</si>
  <si>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</si>
  <si>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</si>
  <si>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</si>
  <si>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</si>
  <si>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</si>
  <si>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</si>
  <si>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</si>
  <si>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</si>
  <si>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</si>
  <si>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</si>
  <si>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</si>
  <si>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</si>
  <si>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</si>
  <si>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</si>
  <si>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</si>
  <si>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</si>
  <si>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</si>
  <si>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</si>
  <si>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</si>
  <si>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</si>
  <si>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</si>
  <si>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</si>
  <si>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</si>
  <si>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</si>
  <si>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</si>
  <si>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</si>
  <si>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</si>
  <si>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</si>
  <si>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</si>
  <si>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</si>
  <si>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</si>
  <si>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</si>
  <si>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</si>
  <si>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</si>
  <si>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</si>
  <si>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</si>
  <si>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</si>
  <si>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</si>
  <si>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</si>
  <si>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</si>
  <si>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</si>
  <si>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</si>
  <si>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</si>
  <si>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</si>
  <si>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</si>
  <si>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</si>
  <si>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</si>
  <si>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</si>
  <si>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</si>
  <si>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</si>
  <si>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</si>
  <si>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</si>
  <si>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</si>
  <si>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</si>
  <si>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</si>
  <si>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</si>
  <si>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</si>
  <si>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</si>
  <si>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</si>
  <si>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</si>
  <si>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</si>
  <si>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</si>
  <si>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</si>
  <si>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</si>
  <si>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</si>
  <si>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</si>
  <si>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</si>
  <si>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</si>
  <si>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</si>
  <si>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</si>
  <si>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</si>
  <si>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</si>
  <si>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</si>
  <si>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</si>
  <si>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</si>
  <si>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</si>
  <si>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</si>
  <si>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</si>
  <si>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</si>
  <si>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</si>
  <si>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</si>
  <si>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</si>
  <si>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</si>
  <si>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</si>
  <si>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</si>
  <si>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</si>
  <si>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</si>
  <si>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</si>
  <si>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</si>
  <si>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</si>
  <si>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</si>
  <si>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</si>
  <si>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</si>
  <si>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</si>
  <si>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</si>
  <si>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</si>
  <si>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</si>
  <si>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</si>
  <si>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</si>
  <si>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</si>
  <si>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</si>
  <si>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</si>
  <si>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</si>
  <si>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</si>
  <si>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</si>
  <si>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</si>
  <si>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</si>
  <si>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</si>
  <si>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</si>
  <si>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</si>
  <si>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</si>
  <si>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</si>
  <si>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</si>
  <si>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</si>
  <si>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</si>
  <si>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</si>
  <si>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</si>
  <si>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</si>
  <si>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</si>
  <si>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</si>
  <si>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</si>
  <si>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</si>
  <si>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</si>
  <si>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</si>
  <si>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</si>
  <si>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</si>
  <si>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</si>
  <si>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</si>
  <si>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</si>
  <si>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</si>
  <si>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</si>
  <si>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</si>
  <si>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</si>
  <si>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</si>
  <si>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</si>
  <si>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</si>
  <si>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</si>
  <si>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</si>
  <si>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</si>
  <si>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</si>
  <si>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</si>
  <si>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</si>
  <si>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</si>
  <si>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</si>
  <si>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</si>
  <si>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</si>
  <si>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</si>
  <si>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</si>
  <si>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</si>
  <si>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</si>
  <si>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</si>
  <si>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</si>
  <si>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</si>
  <si>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</si>
  <si>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</si>
  <si>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</si>
  <si>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</si>
  <si>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</si>
  <si>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</si>
  <si>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</si>
  <si>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</si>
  <si>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</si>
  <si>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</si>
  <si>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</si>
  <si>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</si>
  <si>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</si>
  <si>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</si>
  <si>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</si>
  <si>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</si>
  <si>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</si>
  <si>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</si>
  <si>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</si>
  <si>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</si>
  <si>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</si>
  <si>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</si>
  <si>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</si>
  <si>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</si>
  <si>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</si>
  <si>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</si>
  <si>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</si>
  <si>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</si>
  <si>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</si>
  <si>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</si>
  <si>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</si>
  <si>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</si>
  <si>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</si>
  <si>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</si>
  <si>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</si>
  <si>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</si>
  <si>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</si>
  <si>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</si>
  <si>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</si>
  <si>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</si>
  <si>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</si>
  <si>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</si>
  <si>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</si>
  <si>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</si>
  <si>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</si>
  <si>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</si>
  <si>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</si>
  <si>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</si>
  <si>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</si>
  <si>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</si>
  <si>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</si>
  <si>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</si>
  <si>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</si>
  <si>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</si>
  <si>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</si>
  <si>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</si>
  <si>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</si>
  <si>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</si>
  <si>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</si>
  <si>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</si>
  <si>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</si>
  <si>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</si>
  <si>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</si>
  <si>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</si>
  <si>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</si>
  <si>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</si>
  <si>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</si>
  <si>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</si>
  <si>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</si>
  <si>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</si>
  <si>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</si>
  <si>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</si>
  <si>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</si>
  <si>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</si>
  <si>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</si>
  <si>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</si>
  <si>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</si>
  <si>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</si>
  <si>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</si>
  <si>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</si>
  <si>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</si>
  <si>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</si>
  <si>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</si>
  <si>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</si>
  <si>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</si>
  <si>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</si>
  <si>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</si>
  <si>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</si>
  <si>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</si>
  <si>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</si>
  <si>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</si>
  <si>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</si>
  <si>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</si>
  <si>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</si>
  <si>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</si>
  <si>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</si>
  <si>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</si>
  <si>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</si>
  <si>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</si>
  <si>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</si>
  <si>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</si>
  <si>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</si>
  <si>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</si>
  <si>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</si>
  <si>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</si>
  <si>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</si>
  <si>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</si>
  <si>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</si>
  <si>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</si>
  <si>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</si>
  <si>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</si>
  <si>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</si>
  <si>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</si>
  <si>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</si>
  <si>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</si>
  <si>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</si>
  <si>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</si>
  <si>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</si>
  <si>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</si>
  <si>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</si>
  <si>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</si>
  <si>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</si>
  <si>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</si>
  <si>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</si>
  <si>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</si>
  <si>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</si>
  <si>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</si>
  <si>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</si>
  <si>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</si>
  <si>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</si>
  <si>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</si>
  <si>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</si>
  <si>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</si>
  <si>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</si>
  <si>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</si>
  <si>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</si>
  <si>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</si>
  <si>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</si>
  <si>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</si>
  <si>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</si>
  <si>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</si>
  <si>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</si>
  <si>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</si>
  <si>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</si>
  <si>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</si>
  <si>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</si>
  <si>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</si>
  <si>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</si>
  <si>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</si>
  <si>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</si>
  <si>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</si>
  <si>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</si>
  <si>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</si>
  <si>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</si>
  <si>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</si>
  <si>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</si>
  <si>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</si>
  <si>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</si>
  <si>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</si>
  <si>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</si>
  <si>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</si>
  <si>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</si>
  <si>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</si>
  <si>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</si>
  <si>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</si>
  <si>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</si>
  <si>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</si>
  <si>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</si>
  <si>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</si>
  <si>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</si>
  <si>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</si>
  <si>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</si>
  <si>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</si>
  <si>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</si>
  <si>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</si>
  <si>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</si>
  <si>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</si>
  <si>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</si>
  <si>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</si>
  <si>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</si>
  <si>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</si>
  <si>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</si>
  <si>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</si>
  <si>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</si>
  <si>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</si>
  <si>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</si>
  <si>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</si>
  <si>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</si>
  <si>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</si>
  <si>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</si>
  <si>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</si>
  <si>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</si>
  <si>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</si>
  <si>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</si>
  <si>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</si>
  <si>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</si>
  <si>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</si>
  <si>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</si>
  <si>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</si>
  <si>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</si>
  <si>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</si>
  <si>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</si>
  <si>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</si>
  <si>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</si>
  <si>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</si>
  <si>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</si>
  <si>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</si>
  <si>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</si>
  <si>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</si>
  <si>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</si>
  <si>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</si>
  <si>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</si>
  <si>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</si>
  <si>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</si>
  <si>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</si>
  <si>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</si>
  <si>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</si>
  <si>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</si>
  <si>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</si>
  <si>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</si>
  <si>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</si>
  <si>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</si>
  <si>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</si>
  <si>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</si>
  <si>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</si>
  <si>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</si>
  <si>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</si>
  <si>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</si>
  <si>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</si>
  <si>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</si>
  <si>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</si>
  <si>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</si>
  <si>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</si>
  <si>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</si>
  <si>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</si>
  <si>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</si>
  <si>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</si>
  <si>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</si>
  <si>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</si>
  <si>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</si>
  <si>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</si>
  <si>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</si>
  <si>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</si>
  <si>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</si>
  <si>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</si>
  <si>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</si>
  <si>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</si>
  <si>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</si>
  <si>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</si>
  <si>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</si>
  <si>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</si>
  <si>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</si>
  <si>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</si>
  <si>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</si>
  <si>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</si>
  <si>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</si>
  <si>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</si>
  <si>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</si>
  <si>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</si>
  <si>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</si>
  <si>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</si>
  <si>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</si>
  <si>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</si>
  <si>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</si>
  <si>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</si>
  <si>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</si>
  <si>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</si>
  <si>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</si>
  <si>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</si>
  <si>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</si>
  <si>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</si>
  <si>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</si>
  <si>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</si>
  <si>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</si>
  <si>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</si>
  <si>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</si>
  <si>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</si>
  <si>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</si>
  <si>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</si>
  <si>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</si>
  <si>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</si>
  <si>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</si>
  <si>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</si>
  <si>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</si>
  <si>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</si>
  <si>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</si>
  <si>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</si>
  <si>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</si>
  <si>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</si>
  <si>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</si>
  <si>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</si>
  <si>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</si>
  <si>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</si>
  <si>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</si>
  <si>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</si>
  <si>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</si>
  <si>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</si>
  <si>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</si>
  <si>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</si>
  <si>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</si>
  <si>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</si>
  <si>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</si>
  <si>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</si>
  <si>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</si>
  <si>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</si>
  <si>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</si>
  <si>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</si>
  <si>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</si>
  <si>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</si>
  <si>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</si>
  <si>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</si>
  <si>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</si>
  <si>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</si>
  <si>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</si>
  <si>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</si>
  <si>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</si>
  <si>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</si>
  <si>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</si>
  <si>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</si>
  <si>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</si>
  <si>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</si>
  <si>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</si>
  <si>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</si>
  <si>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</si>
  <si>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</si>
  <si>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</si>
  <si>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</si>
  <si>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</si>
  <si>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</si>
  <si>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</si>
  <si>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</si>
  <si>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</si>
  <si>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</si>
  <si>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</si>
  <si>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</si>
  <si>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</si>
  <si>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</si>
  <si>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</si>
  <si>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</si>
  <si>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</si>
  <si>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</si>
  <si>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</si>
  <si>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</si>
  <si>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</si>
  <si>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</si>
  <si>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</si>
  <si>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</si>
  <si>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</si>
  <si>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</si>
  <si>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</si>
  <si>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</si>
  <si>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</si>
  <si>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</si>
  <si>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</si>
  <si>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</si>
  <si>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</si>
  <si>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</si>
  <si>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</si>
  <si>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</si>
  <si>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</si>
  <si>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</si>
  <si>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</si>
  <si>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</si>
  <si>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</si>
  <si>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</si>
  <si>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</si>
  <si>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</si>
  <si>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</si>
  <si>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</si>
  <si>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</si>
  <si>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</si>
  <si>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</si>
  <si>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</si>
  <si>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</si>
  <si>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</si>
  <si>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</si>
  <si>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</si>
  <si>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</si>
  <si>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</si>
  <si>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</si>
  <si>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</si>
  <si>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</si>
  <si>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</si>
  <si>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</si>
  <si>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</si>
  <si>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</si>
  <si>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</si>
  <si>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</si>
  <si>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</si>
  <si>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</si>
  <si>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</si>
  <si>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</si>
  <si>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</si>
  <si>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</si>
  <si>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</si>
  <si>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</si>
  <si>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</si>
  <si>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</si>
  <si>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</si>
  <si>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</si>
  <si>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</si>
  <si>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</si>
  <si>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</si>
  <si>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</si>
  <si>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</si>
  <si>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</si>
  <si>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</si>
  <si>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</si>
  <si>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</si>
  <si>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</si>
  <si>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</si>
  <si>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</si>
  <si>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</si>
  <si>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</si>
  <si>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</si>
  <si>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</si>
  <si>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</si>
  <si>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</si>
  <si>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</si>
  <si>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</si>
  <si>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</si>
  <si>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</si>
  <si>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</si>
  <si>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</si>
  <si>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</si>
  <si>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</si>
  <si>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</si>
  <si>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</si>
  <si>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</si>
  <si>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</si>
  <si>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</si>
  <si>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</si>
  <si>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</si>
  <si>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</si>
  <si>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</si>
  <si>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</si>
  <si>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</si>
  <si>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</si>
  <si>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</si>
  <si>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</si>
  <si>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</si>
  <si>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</si>
  <si>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</si>
  <si>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</si>
  <si>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</si>
  <si>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</si>
  <si>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</si>
  <si>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</si>
  <si>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</si>
  <si>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</si>
  <si>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</si>
  <si>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</si>
  <si>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</si>
  <si>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</si>
  <si>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</si>
  <si>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</si>
  <si>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</si>
  <si>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</si>
  <si>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</si>
  <si>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</si>
  <si>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</si>
  <si>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</si>
  <si>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</si>
  <si>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</si>
  <si>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</si>
  <si>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</si>
  <si>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</si>
  <si>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</si>
  <si>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</si>
  <si>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</si>
  <si>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</si>
  <si>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</si>
  <si>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</si>
  <si>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</si>
  <si>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</si>
  <si>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</si>
  <si>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</si>
  <si>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</si>
  <si>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</si>
  <si>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</si>
  <si>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</si>
  <si>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</si>
  <si>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</si>
  <si>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</si>
  <si>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</si>
  <si>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</si>
  <si>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</si>
  <si>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</si>
  <si>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</si>
  <si>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</si>
  <si>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</si>
  <si>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</si>
  <si>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</si>
  <si>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</si>
  <si>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</si>
  <si>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</si>
  <si>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</si>
  <si>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</si>
  <si>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</si>
  <si>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</si>
  <si>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</si>
  <si>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</si>
  <si>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</si>
  <si>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</si>
  <si>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</si>
  <si>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</si>
  <si>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</si>
  <si>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</si>
  <si>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</si>
  <si>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</si>
  <si>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</si>
  <si>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</si>
  <si>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</si>
  <si>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</si>
  <si>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</si>
  <si>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</si>
  <si>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</si>
  <si>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</si>
  <si>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</si>
  <si>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</si>
  <si>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</si>
  <si>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</si>
  <si>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</si>
  <si>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</si>
  <si>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</si>
  <si>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</si>
  <si>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</si>
  <si>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</si>
  <si>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</si>
  <si>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</si>
  <si>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</si>
  <si>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</si>
  <si>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</si>
  <si>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</si>
  <si>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</si>
  <si>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</si>
  <si>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</si>
  <si>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</si>
  <si>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</si>
  <si>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</si>
  <si>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</si>
  <si>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</si>
  <si>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</si>
  <si>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</si>
  <si>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</si>
  <si>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</si>
  <si>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</si>
  <si>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</si>
  <si>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</si>
  <si>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</si>
  <si>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</si>
  <si>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</si>
  <si>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</si>
  <si>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</si>
  <si>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</si>
  <si>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</si>
  <si>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</si>
  <si>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</si>
  <si>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</si>
  <si>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</si>
  <si>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</si>
  <si>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</si>
  <si>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</si>
  <si>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</si>
  <si>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</si>
  <si>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</si>
  <si>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</si>
  <si>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</si>
  <si>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</si>
  <si>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</si>
  <si>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</si>
  <si>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</si>
  <si>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</si>
  <si>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</si>
  <si>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</si>
  <si>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</si>
  <si>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</si>
  <si>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</si>
  <si>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</si>
  <si>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</si>
  <si>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</si>
  <si>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</si>
  <si>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</si>
  <si>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</si>
  <si>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</si>
  <si>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</si>
  <si>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</si>
  <si>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</si>
  <si>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</si>
  <si>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</si>
  <si>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</si>
  <si>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</si>
  <si>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</si>
  <si>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</si>
  <si>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</si>
  <si>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</si>
  <si>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</si>
  <si>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</si>
  <si>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</si>
  <si>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</si>
  <si>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</si>
  <si>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</si>
  <si>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</si>
  <si>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</si>
  <si>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</si>
  <si>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</si>
  <si>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</si>
  <si>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</si>
  <si>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</si>
  <si>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</si>
  <si>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</si>
  <si>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</si>
  <si>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</si>
  <si>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</si>
  <si>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</si>
  <si>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</si>
  <si>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</si>
  <si>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</si>
  <si>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</si>
  <si>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</si>
  <si>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</si>
  <si>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</si>
  <si>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</si>
  <si>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</si>
  <si>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</si>
  <si>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</si>
  <si>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</si>
  <si>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</si>
  <si>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</si>
  <si>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</si>
  <si>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</si>
  <si>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</si>
  <si>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</si>
  <si>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</si>
  <si>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</si>
  <si>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</si>
  <si>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</si>
  <si>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</si>
  <si>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</si>
  <si>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</si>
  <si>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</si>
  <si>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</si>
  <si>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</si>
  <si>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</si>
  <si>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</si>
  <si>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</si>
  <si>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</si>
  <si>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</si>
  <si>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</si>
  <si>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</si>
  <si>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</si>
  <si>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</si>
  <si>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</si>
  <si>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</si>
  <si>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</si>
  <si>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</si>
  <si>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</si>
  <si>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</si>
  <si>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</si>
  <si>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</si>
  <si>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</si>
  <si>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</si>
  <si>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</si>
  <si>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</si>
  <si>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</si>
  <si>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</si>
  <si>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</si>
  <si>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</si>
  <si>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</si>
  <si>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</si>
  <si>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</si>
  <si>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</si>
  <si>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</si>
  <si>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</si>
  <si>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</si>
  <si>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</si>
  <si>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</si>
  <si>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</si>
  <si>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</si>
  <si>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</si>
  <si>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</si>
  <si>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</si>
  <si>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</si>
  <si>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</si>
  <si>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</si>
  <si>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</si>
  <si>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</si>
  <si>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</si>
  <si>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</si>
  <si>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</si>
  <si>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</si>
  <si>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</si>
  <si>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</si>
  <si>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</si>
  <si>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</si>
  <si>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</si>
  <si>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</si>
  <si>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</si>
  <si>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</si>
  <si>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</si>
  <si>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</si>
  <si>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</si>
  <si>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</si>
  <si>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</si>
  <si>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</si>
  <si>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</si>
  <si>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</si>
  <si>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</si>
  <si>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</si>
  <si>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</si>
  <si>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</si>
  <si>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</si>
  <si>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</si>
  <si>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</si>
  <si>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</si>
  <si>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</si>
  <si>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</si>
  <si>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</si>
  <si>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</si>
  <si>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</si>
  <si>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</si>
  <si>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</si>
  <si>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</si>
  <si>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</si>
  <si>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</si>
  <si>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</si>
  <si>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</si>
  <si>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</si>
  <si>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</si>
  <si>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</si>
  <si>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</si>
  <si>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</si>
  <si>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</si>
  <si>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</si>
  <si>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</si>
  <si>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</si>
  <si>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</si>
  <si>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</si>
  <si>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</si>
  <si>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</si>
  <si>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</si>
  <si>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</si>
  <si>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</si>
  <si>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</si>
  <si>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</si>
  <si>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</si>
  <si>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</si>
  <si>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</si>
  <si>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</si>
  <si>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</si>
  <si>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</si>
  <si>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</si>
  <si>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</si>
  <si>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</si>
  <si>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</si>
  <si>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</si>
  <si>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</si>
  <si>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</si>
  <si>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</si>
  <si>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</si>
  <si>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</si>
  <si>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</si>
  <si>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</si>
  <si>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</si>
  <si>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</si>
  <si>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</si>
  <si>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</si>
  <si>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</si>
  <si>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</si>
  <si>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</si>
  <si>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</si>
  <si>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</si>
  <si>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</si>
  <si>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</si>
  <si>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</si>
  <si>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</si>
  <si>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</si>
  <si>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</si>
  <si>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</si>
  <si>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</si>
  <si>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</si>
  <si>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</si>
  <si>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</si>
  <si>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</si>
  <si>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</si>
  <si>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</si>
  <si>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</si>
  <si>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</si>
  <si>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</si>
  <si>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</si>
  <si>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</si>
  <si>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</si>
  <si>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</si>
  <si>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</si>
  <si>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</si>
  <si>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</si>
  <si>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</si>
  <si>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</si>
  <si>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</si>
  <si>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</si>
  <si>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</si>
  <si>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</si>
  <si>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</si>
  <si>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</si>
  <si>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</si>
  <si>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</si>
  <si>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</si>
  <si>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</si>
  <si>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</si>
  <si>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</si>
  <si>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</si>
  <si>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</si>
  <si>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</si>
  <si>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</si>
  <si>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</si>
  <si>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</si>
  <si>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</si>
  <si>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</si>
  <si>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</si>
  <si>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</si>
  <si>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</si>
  <si>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</si>
  <si>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</si>
  <si>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</si>
  <si>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</si>
  <si>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</si>
  <si>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</si>
  <si>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</si>
  <si>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</si>
  <si>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</si>
  <si>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</si>
  <si>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</si>
  <si>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</si>
  <si>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</si>
  <si>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</si>
  <si>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</si>
  <si>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</si>
  <si>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</si>
  <si>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</si>
  <si>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</si>
  <si>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</si>
  <si>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</si>
  <si>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</si>
  <si>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</si>
  <si>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</si>
  <si>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</si>
  <si>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</si>
  <si>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</si>
  <si>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</si>
  <si>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</si>
  <si>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</si>
  <si>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</si>
  <si>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</si>
  <si>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</si>
  <si>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</si>
  <si>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</si>
  <si>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</si>
  <si>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</si>
  <si>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</si>
  <si>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</si>
  <si>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</si>
  <si>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</si>
  <si>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</si>
  <si>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</si>
  <si>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</si>
  <si>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</si>
  <si>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</si>
  <si>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</si>
  <si>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</si>
  <si>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</si>
  <si>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</si>
  <si>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</si>
  <si>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</si>
  <si>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</si>
  <si>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</si>
  <si>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</si>
  <si>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</si>
  <si>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</si>
  <si>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</si>
  <si>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</si>
  <si>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</si>
  <si>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</si>
  <si>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</si>
  <si>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</si>
  <si>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</si>
  <si>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</si>
  <si>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</si>
  <si>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</si>
  <si>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</si>
  <si>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</si>
  <si>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</si>
  <si>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</si>
  <si>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</si>
  <si>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</si>
  <si>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</si>
  <si>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</si>
  <si>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</si>
  <si>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</si>
  <si>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</si>
  <si>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</si>
  <si>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</si>
  <si>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</si>
  <si>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</si>
  <si>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</si>
  <si>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</si>
  <si>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</si>
  <si>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</si>
  <si>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</si>
  <si>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</si>
  <si>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</si>
  <si>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</si>
  <si>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</si>
  <si>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</si>
  <si>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</si>
  <si>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</si>
  <si>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</si>
  <si>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</si>
  <si>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</si>
  <si>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</si>
  <si>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</si>
  <si>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</si>
  <si>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</si>
  <si>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</si>
  <si>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</si>
  <si>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</si>
  <si>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</si>
  <si>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</si>
  <si>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</si>
  <si>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</si>
  <si>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</si>
  <si>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</si>
  <si>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</si>
  <si>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</si>
  <si>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</si>
  <si>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</si>
  <si>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</si>
  <si>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</si>
  <si>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</si>
  <si>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</si>
  <si>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</si>
  <si>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</si>
  <si>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</si>
  <si>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</si>
  <si>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</si>
  <si>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</si>
  <si>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</si>
  <si>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</si>
  <si>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</si>
  <si>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</si>
  <si>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</si>
  <si>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</si>
  <si>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</si>
  <si>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</si>
  <si>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</si>
  <si>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</si>
  <si>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</si>
  <si>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</si>
  <si>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</si>
  <si>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</si>
  <si>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</si>
  <si>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</si>
  <si>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</si>
  <si>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</si>
  <si>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</si>
  <si>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</si>
  <si>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</si>
  <si>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</si>
  <si>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</si>
  <si>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</si>
  <si>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</si>
  <si>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</si>
  <si>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</si>
  <si>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</si>
  <si>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</si>
  <si>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</si>
  <si>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</si>
  <si>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</si>
  <si>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</si>
  <si>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</si>
  <si>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</si>
  <si>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</si>
  <si>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</si>
  <si>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</si>
  <si>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</si>
  <si>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</si>
  <si>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</si>
  <si>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</si>
  <si>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</si>
  <si>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</si>
  <si>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</si>
  <si>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</si>
  <si>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</si>
  <si>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</si>
  <si>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</si>
  <si>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</si>
  <si>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</si>
  <si>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</si>
  <si>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</si>
  <si>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</si>
  <si>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</si>
  <si>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</si>
  <si>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</si>
  <si>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</si>
  <si>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</si>
  <si>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</si>
  <si>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</si>
  <si>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</si>
  <si>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</si>
  <si>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</si>
  <si>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</si>
  <si>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</si>
  <si>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</si>
  <si>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</si>
  <si>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</si>
  <si>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</si>
  <si>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</si>
  <si>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</si>
  <si>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</si>
  <si>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</si>
  <si>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</si>
  <si>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</si>
  <si>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</si>
  <si>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</si>
  <si>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</si>
  <si>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</si>
  <si>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</si>
  <si>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</si>
  <si>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</si>
  <si>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</si>
  <si>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</si>
  <si>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</si>
  <si>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</si>
  <si>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</si>
  <si>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</si>
  <si>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</si>
  <si>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</si>
  <si>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</si>
  <si>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</si>
  <si>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</si>
  <si>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</si>
  <si>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</si>
  <si>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</si>
  <si>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</si>
  <si>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</si>
  <si>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</si>
  <si>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</si>
  <si>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</si>
  <si>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</si>
  <si>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</si>
  <si>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</si>
  <si>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</si>
  <si>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</si>
  <si>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</si>
  <si>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</si>
  <si>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</si>
  <si>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</si>
  <si>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</si>
  <si>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</si>
  <si>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</si>
  <si>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</si>
  <si>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</si>
  <si>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</si>
  <si>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</si>
  <si>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</si>
  <si>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</si>
  <si>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</si>
  <si>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</si>
  <si>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</si>
  <si>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</si>
  <si>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</si>
  <si>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</si>
  <si>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</si>
  <si>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</si>
  <si>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</si>
  <si>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</si>
  <si>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</si>
  <si>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</si>
  <si>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</si>
  <si>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</si>
  <si>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</si>
  <si>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</si>
  <si>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</si>
  <si>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</si>
  <si>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</si>
  <si>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</si>
  <si>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</si>
  <si>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</si>
  <si>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</si>
  <si>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</si>
  <si>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</si>
  <si>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</si>
  <si>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</si>
  <si>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</si>
  <si>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</si>
  <si>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</si>
  <si>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</si>
  <si>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</si>
  <si>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</si>
  <si>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</si>
  <si>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</si>
  <si>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</si>
  <si>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</si>
  <si>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</si>
  <si>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</si>
  <si>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</si>
  <si>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</si>
  <si>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</si>
  <si>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</si>
  <si>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</si>
  <si>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</si>
  <si>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</si>
  <si>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</si>
  <si>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</si>
  <si>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</si>
  <si>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</si>
  <si>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</si>
  <si>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</si>
  <si>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</si>
  <si>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</si>
  <si>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</si>
  <si>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</si>
  <si>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</si>
  <si>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</si>
  <si>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</si>
  <si>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</si>
  <si>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</si>
  <si>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</si>
  <si>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</si>
  <si>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</si>
  <si>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</si>
  <si>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</si>
  <si>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</si>
  <si>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</si>
  <si>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</si>
  <si>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</si>
  <si>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</si>
  <si>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</si>
  <si>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</si>
  <si>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</si>
  <si>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</si>
  <si>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</si>
  <si>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</si>
  <si>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</si>
  <si>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</si>
  <si>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</si>
  <si>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</si>
  <si>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</si>
  <si>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</si>
  <si>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</si>
  <si>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</si>
  <si>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</si>
  <si>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</si>
  <si>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</si>
  <si>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</si>
  <si>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</si>
  <si>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</si>
  <si>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</si>
  <si>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</si>
  <si>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</si>
  <si>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</si>
  <si>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</si>
  <si>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</si>
  <si>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</si>
  <si>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</si>
  <si>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</si>
  <si>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</si>
  <si>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</si>
  <si>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</si>
  <si>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</si>
  <si>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</si>
  <si>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</si>
  <si>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</si>
  <si>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</si>
  <si>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</si>
  <si>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</si>
  <si>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</si>
  <si>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</si>
  <si>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</si>
  <si>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</si>
  <si>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</si>
  <si>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</si>
  <si>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</si>
  <si>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</si>
  <si>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</si>
  <si>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</si>
  <si>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</si>
  <si>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</si>
  <si>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</si>
  <si>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</si>
  <si>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</si>
  <si>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</si>
  <si>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</si>
  <si>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</si>
  <si>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</si>
  <si>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</si>
  <si>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</si>
  <si>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</si>
  <si>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</si>
  <si>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</si>
  <si>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</si>
  <si>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</si>
  <si>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</si>
  <si>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</si>
  <si>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</si>
  <si>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</si>
  <si>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</si>
  <si>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</si>
  <si>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</si>
  <si>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</si>
  <si>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</si>
  <si>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</si>
  <si>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</si>
  <si>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</si>
  <si>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</si>
  <si>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</si>
  <si>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</si>
  <si>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</si>
  <si>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</si>
  <si>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</si>
  <si>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</si>
  <si>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</si>
  <si>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</si>
  <si>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</si>
  <si>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</si>
  <si>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</si>
  <si>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</si>
  <si>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</si>
  <si>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</si>
  <si>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</si>
  <si>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</si>
  <si>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</si>
  <si>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</si>
  <si>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</si>
  <si>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</si>
  <si>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</si>
  <si>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</si>
  <si>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</si>
  <si>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</si>
  <si>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</si>
  <si>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</si>
  <si>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</si>
  <si>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</si>
  <si>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</si>
  <si>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</si>
  <si>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</si>
  <si>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</si>
  <si>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</si>
  <si>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</si>
  <si>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</si>
  <si>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</si>
  <si>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</si>
  <si>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</si>
  <si>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</si>
  <si>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</si>
  <si>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</si>
  <si>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</si>
  <si>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</si>
  <si>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</si>
  <si>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</si>
  <si>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</si>
  <si>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</si>
  <si>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</si>
  <si>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</si>
  <si>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</si>
  <si>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</si>
  <si>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</si>
  <si>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</si>
  <si>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</si>
  <si>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</si>
  <si>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</si>
  <si>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</si>
  <si>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</si>
  <si>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</si>
  <si>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</si>
  <si>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</si>
  <si>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</si>
  <si>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</si>
  <si>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</si>
  <si>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</si>
  <si>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</si>
  <si>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</si>
  <si>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</si>
  <si>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</si>
  <si>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</si>
  <si>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</si>
  <si>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</si>
  <si>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</si>
  <si>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</si>
  <si>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</si>
  <si>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</si>
  <si>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</si>
  <si>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</si>
  <si>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</si>
  <si>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</si>
  <si>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</si>
  <si>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</si>
  <si>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</si>
  <si>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</si>
  <si>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</si>
  <si>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</si>
  <si>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</si>
  <si>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</si>
  <si>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</si>
  <si>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</si>
  <si>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</si>
  <si>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</si>
  <si>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</si>
  <si>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</si>
  <si>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</si>
  <si>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</si>
  <si>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</si>
  <si>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</si>
  <si>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</si>
  <si>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</si>
  <si>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</si>
  <si>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</si>
  <si>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</si>
  <si>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</si>
  <si>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</si>
  <si>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</si>
  <si>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</si>
  <si>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</si>
  <si>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</si>
  <si>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</si>
  <si>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</si>
  <si>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</si>
  <si>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</si>
  <si>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</si>
  <si>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</si>
  <si>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</si>
  <si>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</si>
  <si>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</si>
  <si>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</si>
  <si>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</si>
  <si>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</si>
  <si>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</si>
  <si>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</si>
  <si>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</si>
  <si>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</si>
  <si>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</si>
  <si>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</si>
  <si>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</si>
  <si>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</si>
  <si>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</si>
  <si>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</si>
  <si>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</si>
  <si>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</si>
  <si>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</si>
  <si>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</si>
  <si>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</si>
  <si>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</si>
  <si>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</si>
  <si>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</si>
  <si>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</si>
  <si>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</si>
  <si>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</si>
  <si>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</si>
  <si>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</si>
  <si>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</si>
  <si>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</si>
  <si>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</si>
  <si>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</si>
  <si>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</si>
  <si>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</si>
  <si>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</si>
  <si>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</si>
  <si>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</si>
  <si>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</si>
  <si>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</si>
  <si>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</si>
  <si>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</si>
  <si>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</si>
  <si>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</si>
  <si>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</si>
  <si>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</si>
  <si>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</si>
  <si>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</si>
  <si>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</si>
  <si>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</si>
  <si>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</si>
  <si>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</si>
  <si>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</si>
  <si>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</si>
  <si>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</si>
  <si>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</si>
  <si>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</si>
  <si>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</si>
  <si>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</si>
  <si>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</si>
  <si>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</si>
  <si>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</si>
  <si>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</si>
  <si>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</si>
  <si>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</si>
  <si>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</si>
  <si>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</si>
  <si>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</si>
  <si>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</si>
  <si>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</si>
  <si>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</si>
  <si>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</si>
  <si>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</si>
  <si>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</si>
  <si>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</si>
  <si>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</si>
  <si>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</si>
  <si>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</si>
  <si>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</si>
  <si>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</si>
  <si>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</si>
  <si>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</si>
  <si>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</si>
  <si>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</si>
  <si>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</si>
  <si>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</si>
  <si>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</si>
  <si>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</si>
  <si>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</si>
  <si>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</si>
  <si>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</si>
  <si>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</si>
  <si>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</si>
  <si>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</si>
  <si>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</si>
  <si>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</si>
  <si>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</si>
  <si>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</si>
  <si>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</si>
  <si>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</si>
  <si>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</si>
  <si>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</si>
  <si>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</si>
  <si>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</si>
  <si>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</si>
  <si>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</si>
  <si>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</si>
  <si>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</si>
  <si>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</si>
  <si>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</si>
  <si>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</si>
  <si>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</si>
  <si>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</si>
  <si>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</si>
  <si>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</si>
  <si>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</si>
  <si>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</si>
  <si>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</si>
  <si>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</si>
  <si>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</si>
  <si>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</si>
  <si>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</si>
  <si>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</si>
  <si>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</si>
  <si>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</si>
  <si>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</si>
  <si>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</si>
  <si>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</si>
  <si>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</si>
  <si>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</si>
  <si>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</si>
  <si>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</si>
  <si>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</si>
  <si>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</si>
  <si>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</si>
  <si>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</si>
  <si>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</si>
  <si>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</si>
  <si>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</si>
  <si>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</si>
  <si>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</si>
  <si>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</si>
  <si>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</si>
  <si>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</si>
  <si>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</si>
  <si>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</si>
  <si>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</si>
  <si>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</si>
  <si>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</si>
  <si>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</si>
  <si>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</si>
  <si>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</si>
  <si>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</si>
  <si>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</si>
  <si>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</si>
  <si>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</si>
  <si>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</si>
  <si>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</si>
  <si>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</si>
  <si>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</si>
  <si>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</si>
  <si>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</si>
  <si>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</si>
  <si>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</si>
  <si>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</si>
  <si>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</si>
  <si>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</si>
  <si>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</si>
  <si>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</si>
  <si>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</si>
  <si>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</si>
  <si>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</si>
  <si>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</si>
  <si>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</si>
  <si>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</si>
  <si>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</si>
  <si>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</si>
  <si>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</si>
  <si>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</si>
  <si>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</si>
  <si>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</si>
  <si>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</si>
  <si>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</si>
  <si>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</si>
  <si>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</si>
  <si>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</si>
  <si>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</si>
  <si>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</si>
  <si>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</si>
  <si>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</si>
  <si>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</si>
  <si>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</si>
  <si>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</si>
  <si>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</si>
  <si>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</si>
  <si>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</si>
  <si>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</si>
  <si>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</si>
  <si>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</si>
  <si>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</si>
  <si>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</si>
  <si>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</si>
  <si>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</si>
  <si>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</si>
  <si>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</si>
  <si>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</si>
  <si>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</si>
  <si>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</si>
  <si>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</si>
  <si>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</si>
  <si>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</si>
  <si>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</si>
  <si>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</si>
  <si>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</si>
  <si>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</si>
  <si>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</si>
  <si>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</si>
  <si>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</si>
  <si>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</si>
  <si>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</si>
  <si>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</si>
  <si>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</si>
  <si>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</si>
  <si>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</si>
  <si>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</si>
  <si>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</si>
  <si>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</si>
  <si>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</si>
  <si>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</si>
  <si>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</si>
  <si>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</si>
  <si>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</si>
  <si>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</si>
  <si>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</si>
  <si>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</si>
  <si>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</si>
  <si>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</si>
  <si>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</si>
  <si>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</si>
  <si>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</si>
  <si>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</si>
  <si>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</si>
  <si>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</si>
  <si>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</si>
  <si>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</si>
  <si>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</si>
  <si>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</si>
  <si>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</si>
  <si>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</si>
  <si>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</si>
  <si>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</si>
  <si>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</si>
  <si>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</si>
  <si>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</si>
  <si>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</si>
  <si>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</si>
  <si>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</si>
  <si>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</si>
  <si>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</si>
  <si>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</si>
  <si>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</si>
  <si>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</si>
  <si>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</si>
  <si>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</si>
  <si>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</si>
  <si>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</si>
  <si>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</si>
  <si>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</si>
  <si>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</si>
  <si>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</si>
  <si>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</si>
  <si>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</si>
  <si>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</si>
  <si>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</si>
  <si>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</si>
  <si>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</si>
  <si>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</si>
  <si>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</si>
  <si>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</si>
  <si>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</si>
  <si>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</si>
  <si>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</si>
  <si>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</si>
  <si>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</si>
  <si>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</si>
  <si>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</si>
  <si>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</si>
  <si>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</si>
  <si>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</si>
  <si>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</si>
  <si>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</si>
  <si>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</si>
  <si>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</si>
  <si>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</si>
  <si>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</si>
  <si>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</si>
  <si>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</si>
  <si>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</si>
  <si>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</si>
  <si>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</si>
  <si>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</si>
  <si>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</si>
  <si>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</si>
  <si>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</si>
  <si>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</si>
  <si>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</si>
  <si>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</si>
  <si>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</si>
  <si>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</si>
  <si>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</si>
  <si>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</si>
  <si>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</si>
  <si>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</si>
  <si>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</si>
  <si>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</si>
  <si>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</si>
  <si>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</si>
  <si>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</si>
  <si>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</si>
  <si>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</si>
  <si>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</si>
  <si>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</si>
  <si>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</si>
  <si>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</si>
  <si>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</si>
  <si>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</si>
  <si>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</si>
  <si>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</si>
  <si>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</si>
  <si>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</si>
  <si>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</si>
  <si>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</si>
  <si>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</si>
  <si>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</si>
  <si>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</si>
  <si>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</si>
  <si>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</si>
  <si>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</si>
  <si>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</si>
  <si>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</si>
  <si>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</si>
  <si>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</si>
  <si>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</si>
  <si>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</si>
  <si>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</si>
  <si>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</si>
  <si>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</si>
  <si>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</si>
  <si>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</si>
  <si>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</si>
  <si>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</si>
  <si>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</si>
  <si>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</si>
  <si>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</si>
  <si>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</si>
  <si>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</si>
  <si>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</si>
  <si>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</si>
  <si>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</si>
  <si>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</si>
  <si>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</si>
  <si>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</si>
  <si>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</si>
  <si>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</si>
  <si>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</si>
  <si>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</si>
  <si>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</si>
  <si>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</si>
  <si>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</si>
  <si>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</si>
  <si>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</si>
  <si>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</si>
  <si>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</si>
  <si>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</si>
  <si>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</si>
  <si>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</si>
  <si>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</si>
  <si>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</si>
  <si>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</si>
  <si>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</si>
  <si>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</si>
  <si>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</si>
  <si>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</si>
  <si>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</si>
  <si>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</si>
  <si>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</si>
  <si>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</si>
  <si>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</si>
  <si>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</si>
  <si>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</si>
  <si>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</si>
  <si>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</si>
  <si>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</si>
  <si>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</si>
  <si>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</si>
  <si>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</si>
  <si>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</si>
  <si>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</si>
  <si>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</si>
  <si>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</si>
  <si>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</si>
  <si>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</si>
  <si>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</si>
  <si>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</si>
  <si>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</si>
  <si>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</si>
  <si>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</si>
  <si>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</si>
  <si>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</si>
  <si>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</si>
  <si>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</si>
  <si>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</si>
  <si>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</si>
  <si>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</si>
  <si>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</si>
  <si>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</si>
  <si>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</si>
  <si>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</si>
  <si>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</si>
  <si>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</si>
  <si>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</si>
  <si>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</si>
  <si>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</si>
  <si>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</si>
  <si>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</si>
  <si>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</si>
  <si>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</si>
  <si>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</si>
  <si>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</si>
  <si>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</si>
  <si>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</si>
  <si>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</si>
  <si>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</si>
  <si>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</si>
  <si>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</si>
  <si>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</si>
  <si>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</si>
  <si>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</si>
  <si>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</si>
  <si>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</si>
  <si>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</si>
  <si>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</si>
  <si>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</si>
  <si>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</si>
  <si>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</si>
  <si>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</si>
  <si>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</si>
  <si>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</si>
  <si>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</si>
  <si>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</si>
  <si>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</si>
  <si>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</si>
  <si>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</si>
  <si>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</si>
  <si>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</si>
  <si>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</si>
  <si>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</si>
  <si>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</si>
  <si>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</si>
  <si>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</si>
  <si>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</si>
  <si>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</si>
  <si>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</si>
  <si>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</si>
  <si>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</si>
  <si>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</si>
  <si>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</si>
  <si>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</si>
  <si>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</si>
  <si>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</si>
  <si>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</si>
  <si>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</si>
  <si>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</si>
  <si>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</si>
  <si>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</si>
  <si>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</si>
  <si>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</si>
  <si>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</si>
  <si>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</si>
  <si>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</si>
  <si>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</si>
  <si>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</si>
  <si>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</si>
  <si>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</si>
  <si>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</si>
  <si>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</si>
  <si>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</si>
  <si>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</si>
  <si>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</si>
  <si>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</si>
  <si>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</si>
  <si>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</si>
  <si>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</si>
  <si>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</si>
  <si>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</si>
  <si>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</si>
  <si>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</si>
  <si>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</si>
  <si>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</si>
  <si>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</si>
  <si>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</si>
  <si>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</si>
  <si>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</si>
  <si>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</si>
  <si>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</si>
  <si>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</si>
  <si>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</si>
  <si>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</si>
  <si>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</si>
  <si>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</si>
  <si>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</si>
  <si>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</si>
  <si>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</si>
  <si>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</si>
  <si>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</si>
  <si>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</si>
  <si>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</si>
  <si>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</si>
  <si>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</si>
  <si>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</si>
  <si>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</si>
  <si>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</si>
  <si>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</si>
  <si>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</si>
  <si>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</si>
  <si>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</si>
  <si>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</si>
  <si>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</si>
  <si>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</si>
  <si>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</si>
  <si>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</si>
  <si>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</si>
  <si>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</si>
  <si>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</si>
  <si>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</si>
  <si>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</si>
  <si>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</si>
  <si>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</si>
  <si>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</si>
  <si>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</si>
  <si>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</si>
  <si>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</si>
  <si>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</si>
  <si>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</si>
  <si>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</si>
  <si>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</si>
  <si>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</si>
  <si>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</si>
  <si>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</si>
  <si>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</si>
  <si>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</si>
  <si>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</si>
  <si>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</si>
  <si>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</si>
  <si>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</si>
  <si>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</si>
  <si>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</si>
  <si>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</si>
  <si>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</si>
  <si>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</si>
  <si>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</si>
  <si>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</si>
  <si>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</si>
  <si>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</si>
  <si>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</si>
  <si>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</si>
  <si>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</si>
  <si>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</si>
  <si>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</si>
  <si>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</si>
  <si>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</si>
  <si>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</si>
  <si>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</si>
  <si>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</si>
  <si>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</si>
  <si>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</si>
  <si>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</si>
  <si>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</si>
  <si>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</si>
  <si>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</si>
  <si>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</si>
  <si>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</si>
  <si>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</si>
  <si>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</si>
  <si>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</si>
  <si>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</si>
  <si>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</si>
  <si>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</si>
  <si>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</si>
  <si>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</si>
  <si>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</si>
  <si>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</si>
  <si>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</si>
  <si>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</si>
  <si>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</si>
  <si>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</si>
  <si>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</si>
  <si>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</si>
  <si>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</si>
  <si>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</si>
  <si>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</si>
  <si>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</si>
  <si>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</si>
  <si>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</si>
  <si>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</si>
  <si>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</si>
  <si>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</si>
  <si>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</si>
  <si>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</si>
  <si>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</si>
  <si>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</si>
  <si>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</si>
  <si>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</si>
  <si>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</si>
  <si>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</si>
  <si>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</si>
  <si>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</si>
  <si>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</si>
  <si>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</si>
  <si>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</si>
  <si>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</si>
  <si>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</si>
  <si>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</si>
  <si>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</si>
  <si>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</si>
  <si>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</si>
  <si>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</si>
  <si>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</si>
  <si>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</si>
  <si>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</si>
  <si>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</si>
  <si>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</si>
  <si>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</si>
  <si>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</si>
  <si>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</si>
  <si>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</si>
  <si>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</si>
  <si>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</si>
  <si>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</si>
  <si>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</si>
  <si>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</si>
  <si>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</si>
  <si>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</si>
  <si>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</si>
  <si>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</si>
  <si>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</si>
  <si>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</si>
  <si>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</si>
  <si>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</si>
  <si>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</si>
  <si>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</si>
  <si>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</si>
  <si>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</si>
  <si>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</si>
  <si>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</si>
  <si>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</si>
  <si>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</si>
  <si>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</si>
  <si>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</si>
  <si>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</si>
  <si>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</si>
  <si>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</si>
  <si>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</si>
  <si>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</si>
  <si>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</si>
  <si>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</si>
  <si>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</si>
  <si>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</si>
  <si>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</si>
  <si>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</si>
  <si>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</si>
  <si>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</si>
  <si>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</si>
  <si>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</si>
  <si>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</si>
  <si>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</si>
  <si>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</si>
  <si>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</si>
  <si>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</si>
  <si>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</si>
  <si>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</si>
  <si>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</si>
  <si>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</si>
  <si>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</si>
  <si>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</si>
  <si>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</si>
  <si>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</si>
  <si>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</si>
  <si>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</si>
  <si>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</si>
  <si>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</si>
  <si>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</si>
  <si>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</si>
  <si>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</si>
  <si>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</si>
  <si>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</si>
  <si>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</si>
  <si>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</si>
  <si>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</si>
  <si>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</si>
  <si>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</si>
  <si>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</si>
  <si>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</si>
  <si>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</si>
  <si>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</si>
  <si>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</si>
  <si>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</si>
  <si>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</si>
  <si>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</si>
  <si>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</si>
  <si>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</si>
  <si>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</si>
  <si>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</si>
  <si>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</si>
  <si>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</si>
  <si>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</si>
  <si>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</si>
  <si>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</si>
  <si>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</si>
  <si>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</si>
  <si>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</si>
  <si>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</si>
  <si>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</si>
  <si>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</si>
  <si>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</si>
  <si>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</si>
  <si>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</si>
  <si>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</si>
  <si>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</si>
  <si>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</si>
  <si>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</si>
  <si>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</si>
  <si>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</si>
  <si>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</si>
  <si>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</si>
  <si>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</si>
  <si>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</si>
  <si>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</si>
  <si>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</si>
  <si>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</si>
  <si>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</si>
  <si>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</si>
  <si>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</si>
  <si>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</si>
  <si>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</si>
  <si>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</si>
  <si>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</si>
  <si>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</si>
  <si>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</si>
  <si>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</si>
  <si>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</si>
  <si>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</si>
  <si>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</si>
  <si>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</si>
  <si>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</si>
  <si>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</si>
  <si>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</si>
  <si>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</si>
  <si>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</si>
  <si>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</si>
  <si>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</si>
  <si>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</si>
  <si>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</si>
  <si>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</si>
  <si>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</si>
  <si>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</si>
  <si>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</si>
  <si>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</si>
  <si>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</si>
  <si>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</si>
  <si>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</si>
  <si>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</si>
  <si>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</si>
  <si>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</si>
  <si>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</si>
  <si>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</si>
  <si>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</si>
  <si>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</si>
  <si>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</si>
  <si>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</si>
  <si>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</si>
  <si>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</si>
  <si>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</si>
  <si>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</si>
  <si>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</si>
  <si>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</si>
  <si>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</si>
  <si>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</si>
  <si>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</si>
  <si>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</si>
  <si>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</si>
  <si>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</si>
  <si>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</si>
  <si>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</si>
  <si>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</si>
  <si>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</si>
  <si>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</si>
  <si>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</si>
  <si>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</si>
  <si>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</si>
  <si>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</si>
  <si>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</si>
  <si>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</si>
  <si>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</si>
  <si>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</si>
  <si>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</si>
  <si>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</si>
  <si>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</si>
  <si>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</si>
  <si>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</si>
  <si>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</si>
  <si>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</si>
  <si>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</si>
  <si>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</si>
  <si>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</si>
  <si>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</si>
  <si>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</si>
  <si>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</si>
  <si>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</si>
  <si>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</si>
  <si>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</si>
  <si>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</si>
  <si>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</si>
  <si>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</si>
  <si>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</si>
  <si>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</si>
  <si>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</si>
  <si>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</si>
  <si>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</si>
  <si>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</si>
  <si>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</si>
  <si>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</si>
  <si>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</si>
  <si>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</si>
  <si>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</si>
  <si>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</si>
  <si>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</si>
  <si>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</si>
  <si>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</si>
  <si>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</si>
  <si>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</si>
  <si>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</si>
  <si>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</si>
  <si>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</si>
  <si>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</si>
  <si>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</si>
  <si>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</si>
  <si>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</si>
  <si>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</si>
  <si>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</si>
  <si>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</si>
  <si>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</si>
  <si>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</si>
  <si>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</si>
  <si>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</si>
  <si>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</si>
  <si>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</si>
  <si>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</si>
  <si>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</si>
  <si>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</si>
  <si>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</si>
  <si>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</si>
  <si>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</si>
  <si>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</si>
  <si>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</si>
  <si>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</si>
  <si>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</si>
  <si>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</si>
  <si>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</si>
  <si>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</si>
  <si>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</si>
  <si>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</si>
  <si>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</si>
  <si>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</si>
  <si>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</si>
  <si>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</si>
  <si>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</si>
  <si>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</si>
  <si>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</si>
  <si>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</si>
  <si>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</si>
  <si>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</si>
  <si>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</si>
  <si>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</si>
  <si>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</si>
  <si>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</si>
  <si>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</si>
  <si>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</si>
  <si>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</si>
  <si>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</si>
  <si>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</si>
  <si>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</si>
  <si>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</si>
  <si>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</si>
  <si>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</si>
  <si>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</si>
  <si>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</si>
  <si>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</si>
  <si>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</si>
  <si>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</si>
  <si>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</si>
  <si>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</si>
  <si>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</si>
  <si>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</si>
  <si>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</si>
  <si>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</si>
  <si>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</si>
  <si>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</si>
  <si>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</si>
  <si>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</si>
  <si>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</si>
  <si>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</si>
  <si>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</si>
  <si>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</si>
  <si>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</si>
  <si>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</si>
  <si>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</si>
  <si>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</si>
  <si>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</si>
  <si>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</si>
  <si>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</si>
  <si>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</si>
  <si>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</si>
  <si>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</si>
  <si>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</si>
  <si>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</si>
  <si>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</si>
  <si>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</si>
  <si>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</si>
  <si>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</si>
  <si>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</si>
  <si>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</si>
  <si>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</si>
  <si>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</si>
  <si>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</si>
  <si>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</si>
  <si>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</si>
  <si>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</si>
  <si>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</si>
  <si>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</si>
  <si>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</si>
  <si>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</si>
  <si>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</si>
  <si>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</si>
  <si>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</si>
  <si>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</si>
  <si>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</si>
  <si>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</si>
  <si>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</si>
  <si>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</si>
  <si>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</si>
  <si>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</si>
  <si>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</si>
  <si>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</si>
  <si>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</si>
  <si>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</si>
  <si>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</si>
  <si>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</si>
  <si>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</si>
  <si>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</si>
  <si>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</si>
  <si>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</si>
  <si>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</si>
  <si>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</si>
  <si>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</si>
  <si>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</si>
  <si>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</si>
  <si>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</si>
  <si>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</si>
  <si>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</si>
  <si>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</si>
  <si>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</si>
  <si>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</si>
  <si>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</si>
  <si>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</si>
  <si>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</si>
  <si>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</si>
  <si>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</si>
  <si>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</si>
  <si>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</si>
  <si>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</si>
  <si>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</si>
  <si>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</si>
  <si>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</si>
  <si>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</si>
  <si>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</si>
  <si>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</si>
  <si>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</si>
  <si>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</si>
  <si>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</si>
  <si>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</si>
  <si>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</si>
  <si>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</si>
  <si>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</si>
  <si>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</si>
  <si>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</si>
  <si>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</si>
  <si>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</si>
  <si>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</si>
  <si>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</si>
  <si>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</si>
  <si>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</si>
  <si>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</si>
  <si>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</si>
  <si>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</si>
  <si>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</si>
  <si>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</si>
  <si>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</si>
  <si>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</si>
  <si>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</si>
  <si>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</si>
  <si>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</si>
  <si>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</si>
  <si>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</si>
  <si>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</si>
  <si>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</si>
  <si>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</si>
  <si>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</si>
  <si>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</si>
  <si>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</si>
  <si>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</si>
  <si>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</si>
  <si>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</si>
  <si>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</si>
  <si>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</si>
  <si>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</si>
  <si>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</si>
  <si>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</si>
  <si>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</si>
  <si>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</si>
  <si>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</si>
  <si>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</si>
  <si>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</si>
  <si>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</si>
  <si>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</si>
  <si>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</si>
  <si>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</si>
  <si>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</si>
  <si>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</si>
  <si>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</si>
  <si>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</si>
  <si>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</si>
  <si>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</si>
  <si>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</si>
  <si>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</si>
  <si>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</si>
  <si>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</si>
  <si>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</si>
  <si>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</si>
  <si>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</si>
  <si>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</si>
  <si>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</si>
  <si>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</si>
  <si>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</si>
  <si>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</si>
  <si>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</si>
  <si>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</si>
  <si>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</si>
  <si>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</si>
  <si>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</si>
  <si>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</si>
  <si>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</si>
  <si>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</si>
  <si>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</si>
  <si>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</si>
  <si>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</si>
  <si>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</si>
  <si>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</si>
  <si>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</si>
  <si>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</si>
  <si>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</si>
  <si>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</si>
  <si>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</si>
  <si>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</si>
  <si>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</si>
  <si>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</si>
  <si>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</si>
  <si>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</si>
  <si>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</si>
  <si>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</si>
  <si>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</si>
  <si>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</si>
  <si>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</si>
  <si>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</si>
  <si>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</si>
  <si>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</si>
  <si>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</si>
  <si>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</si>
  <si>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</si>
  <si>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</si>
  <si>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</si>
  <si>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</si>
  <si>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</si>
  <si>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</si>
  <si>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</si>
  <si>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</si>
  <si>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</si>
  <si>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</si>
  <si>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</si>
  <si>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</si>
  <si>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</si>
  <si>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</si>
  <si>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</si>
  <si>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</si>
  <si>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</si>
  <si>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</si>
  <si>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</si>
  <si>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</si>
  <si>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</si>
  <si>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</si>
  <si>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</si>
  <si>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</si>
  <si>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</si>
  <si>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</si>
  <si>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</si>
  <si>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</si>
  <si>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</si>
  <si>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</si>
  <si>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</si>
  <si>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</si>
  <si>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</si>
  <si>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</si>
  <si>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</si>
  <si>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</si>
  <si>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</si>
  <si>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</si>
  <si>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</si>
  <si>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</si>
  <si>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</si>
  <si>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</si>
  <si>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</si>
  <si>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</si>
  <si>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</si>
  <si>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</si>
  <si>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</si>
  <si>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</si>
  <si>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</si>
  <si>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</si>
  <si>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</si>
  <si>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</si>
  <si>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</si>
  <si>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</si>
  <si>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</si>
  <si>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</si>
  <si>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</si>
  <si>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</si>
  <si>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</si>
  <si>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</si>
  <si>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</si>
  <si>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</si>
  <si>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</si>
  <si>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</si>
  <si>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</si>
  <si>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</si>
  <si>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</si>
  <si>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</si>
  <si>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</si>
  <si>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</si>
  <si>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</si>
  <si>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</si>
  <si>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</si>
  <si>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</si>
  <si>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</si>
  <si>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</si>
  <si>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</si>
  <si>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</si>
  <si>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</si>
  <si>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</si>
  <si>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</si>
  <si>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</si>
  <si>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</si>
  <si>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</si>
  <si>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</si>
  <si>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</si>
  <si>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</si>
  <si>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</si>
  <si>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</si>
  <si>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</si>
  <si>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</si>
  <si>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</si>
  <si>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</si>
  <si>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</si>
  <si>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</si>
  <si>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</si>
  <si>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</si>
  <si>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</si>
  <si>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</si>
  <si>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</si>
  <si>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</si>
  <si>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</si>
  <si>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</si>
  <si>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</si>
  <si>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</si>
  <si>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</si>
  <si>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</si>
  <si>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</si>
  <si>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</si>
  <si>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</si>
  <si>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</si>
  <si>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</si>
  <si>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</si>
  <si>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</si>
  <si>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</si>
  <si>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</si>
  <si>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</si>
  <si>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</si>
  <si>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</si>
  <si>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</si>
  <si>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</si>
  <si>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</si>
  <si>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</si>
  <si>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</si>
  <si>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</si>
  <si>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</si>
  <si>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</si>
  <si>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</si>
  <si>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</si>
  <si>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</si>
  <si>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</si>
  <si>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</si>
  <si>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</si>
  <si>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</si>
  <si>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</si>
  <si>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</si>
  <si>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</si>
  <si>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</si>
  <si>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</si>
  <si>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</si>
  <si>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</si>
  <si>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</si>
  <si>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</si>
  <si>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</si>
  <si>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</si>
  <si>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</si>
  <si>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</si>
  <si>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</si>
  <si>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</si>
  <si>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</si>
  <si>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</si>
  <si>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</si>
  <si>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</si>
  <si>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</si>
  <si>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</si>
  <si>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</si>
  <si>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</si>
  <si>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</si>
  <si>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</si>
  <si>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</si>
  <si>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</si>
  <si>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</si>
  <si>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</si>
  <si>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</si>
  <si>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</si>
  <si>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</si>
  <si>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</si>
  <si>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</si>
  <si>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</si>
  <si>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</si>
  <si>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</si>
  <si>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</si>
  <si>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</si>
  <si>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</si>
  <si>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</si>
  <si>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</si>
  <si>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</si>
  <si>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</si>
  <si>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</si>
  <si>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</si>
  <si>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</si>
  <si>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</si>
  <si>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</si>
  <si>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</si>
  <si>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</si>
  <si>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</si>
  <si>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</si>
  <si>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</si>
  <si>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</si>
  <si>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</si>
  <si>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</si>
  <si>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</si>
  <si>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</si>
  <si>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</si>
  <si>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</si>
  <si>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</si>
  <si>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</si>
  <si>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</si>
  <si>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</si>
  <si>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</si>
  <si>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</si>
  <si>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</si>
  <si>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</si>
  <si>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</si>
  <si>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</si>
  <si>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</si>
  <si>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</si>
  <si>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</si>
  <si>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</si>
  <si>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</si>
  <si>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</si>
  <si>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</si>
  <si>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</si>
  <si>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</si>
  <si>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</si>
  <si>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</si>
  <si>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</si>
  <si>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</si>
  <si>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</si>
  <si>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</si>
  <si>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</si>
  <si>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</si>
  <si>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</si>
  <si>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</si>
  <si>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</si>
  <si>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</si>
  <si>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</si>
  <si>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</si>
  <si>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</si>
  <si>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</si>
  <si>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</si>
  <si>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</si>
  <si>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</si>
  <si>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</si>
  <si>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</si>
  <si>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</si>
  <si>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</si>
  <si>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</si>
  <si>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</si>
  <si>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</si>
  <si>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</si>
  <si>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</si>
  <si>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</si>
  <si>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</si>
  <si>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</si>
  <si>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</si>
  <si>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</si>
  <si>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</si>
  <si>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</si>
  <si>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</si>
  <si>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</si>
  <si>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</si>
  <si>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</si>
  <si>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</si>
  <si>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</si>
  <si>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</si>
  <si>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</si>
  <si>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</si>
  <si>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</si>
  <si>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</si>
  <si>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</si>
  <si>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</si>
  <si>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</si>
  <si>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</si>
  <si>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</si>
  <si>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</si>
  <si>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</si>
  <si>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</si>
  <si>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</si>
  <si>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</si>
  <si>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</si>
  <si>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</si>
  <si>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</si>
  <si>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</si>
  <si>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</si>
  <si>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</si>
  <si>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</si>
  <si>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</si>
  <si>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</si>
  <si>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</si>
  <si>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</si>
  <si>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</si>
  <si>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</si>
  <si>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</si>
  <si>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</si>
  <si>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</si>
  <si>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</si>
  <si>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</si>
  <si>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</si>
  <si>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</si>
  <si>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</si>
  <si>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</si>
  <si>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</si>
  <si>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</si>
  <si>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</si>
  <si>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</si>
  <si>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</si>
  <si>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</si>
  <si>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</si>
  <si>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</si>
  <si>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</si>
  <si>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</si>
  <si>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</si>
  <si>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</si>
  <si>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</si>
  <si>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</si>
  <si>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</si>
  <si>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</si>
  <si>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</si>
  <si>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</si>
  <si>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</si>
  <si>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</si>
  <si>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</si>
  <si>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</si>
  <si>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</si>
  <si>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</si>
  <si>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</si>
  <si>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</si>
  <si>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</si>
  <si>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</si>
  <si>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</si>
  <si>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</si>
  <si>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</si>
  <si>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</si>
  <si>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</si>
  <si>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</si>
  <si>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</si>
  <si>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</si>
  <si>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</si>
  <si>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</si>
  <si>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</si>
  <si>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</si>
  <si>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</si>
  <si>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</si>
  <si>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</si>
  <si>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</si>
  <si>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</si>
  <si>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</si>
  <si>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</si>
  <si>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</si>
  <si>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</si>
  <si>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</si>
  <si>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</si>
  <si>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</si>
  <si>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</si>
  <si>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</si>
  <si>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</si>
  <si>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</si>
  <si>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</si>
  <si>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</si>
  <si>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</si>
  <si>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</si>
  <si>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</si>
  <si>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</si>
  <si>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</si>
  <si>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</si>
  <si>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</si>
  <si>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</si>
  <si>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</si>
  <si>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</si>
  <si>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</si>
  <si>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</si>
  <si>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</si>
  <si>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</si>
  <si>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</si>
  <si>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</si>
  <si>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</si>
  <si>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</si>
  <si>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</si>
  <si>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</si>
  <si>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</si>
  <si>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</si>
  <si>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</si>
  <si>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</si>
  <si>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</si>
  <si>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</si>
  <si>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</si>
  <si>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</si>
  <si>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</si>
  <si>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</si>
  <si>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</si>
  <si>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</si>
  <si>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</si>
  <si>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</si>
  <si>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</si>
  <si>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</si>
  <si>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</si>
  <si>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</si>
  <si>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</si>
  <si>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</si>
  <si>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</si>
  <si>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</si>
  <si>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</si>
  <si>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</si>
  <si>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</si>
  <si>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</si>
  <si>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</si>
  <si>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</si>
  <si>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</si>
  <si>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</si>
  <si>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</si>
  <si>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</si>
  <si>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</si>
  <si>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</si>
  <si>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</si>
  <si>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</si>
  <si>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</si>
  <si>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</si>
  <si>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</si>
  <si>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</si>
  <si>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</si>
  <si>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</si>
  <si>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</si>
  <si>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</si>
  <si>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</si>
  <si>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</si>
  <si>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</si>
  <si>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</si>
  <si>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</si>
  <si>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</si>
  <si>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</si>
  <si>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</si>
  <si>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</si>
  <si>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</si>
  <si>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</si>
  <si>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</si>
  <si>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</si>
  <si>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</si>
  <si>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</si>
  <si>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</si>
  <si>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</si>
  <si>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</si>
  <si>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</si>
  <si>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</si>
  <si>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</si>
  <si>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</si>
  <si>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</si>
  <si>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</si>
  <si>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</si>
  <si>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</si>
  <si>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</si>
  <si>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</si>
  <si>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</si>
  <si>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</si>
  <si>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</si>
  <si>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</si>
  <si>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</si>
  <si>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</si>
  <si>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</si>
  <si>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</si>
  <si>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</si>
  <si>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</si>
  <si>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</si>
  <si>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</si>
  <si>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</si>
  <si>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</si>
  <si>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</si>
  <si>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</si>
  <si>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</si>
  <si>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</si>
  <si>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</si>
  <si>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</si>
  <si>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</si>
  <si>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</si>
  <si>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</si>
  <si>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</si>
  <si>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</si>
  <si>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</si>
  <si>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</si>
  <si>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</si>
  <si>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</si>
  <si>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</si>
  <si>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</si>
  <si>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</si>
  <si>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</si>
  <si>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</si>
  <si>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</si>
  <si>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</si>
  <si>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</si>
  <si>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</si>
  <si>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</si>
  <si>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</si>
  <si>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</si>
  <si>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</si>
  <si>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</si>
  <si>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</si>
  <si>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</si>
  <si>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</si>
  <si>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</si>
  <si>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</si>
  <si>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</si>
  <si>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</si>
  <si>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</si>
  <si>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</si>
  <si>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</si>
  <si>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</si>
  <si>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</si>
  <si>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</si>
  <si>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</si>
  <si>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</si>
  <si>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</si>
  <si>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</si>
  <si>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</si>
  <si>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</si>
  <si>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</si>
  <si>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</si>
  <si>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</si>
  <si>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</si>
  <si>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</si>
  <si>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</si>
  <si>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</si>
  <si>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</si>
  <si>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</si>
  <si>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</si>
  <si>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</si>
  <si>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</si>
  <si>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</si>
  <si>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</si>
  <si>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</si>
  <si>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</si>
  <si>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</si>
  <si>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</si>
  <si>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</si>
  <si>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</si>
  <si>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</si>
  <si>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</si>
  <si>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</si>
  <si>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</si>
  <si>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</si>
  <si>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</si>
  <si>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</si>
  <si>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</si>
  <si>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</si>
  <si>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</si>
  <si>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</si>
  <si>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</si>
  <si>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</si>
  <si>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</si>
  <si>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</si>
  <si>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</si>
  <si>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</si>
  <si>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</si>
  <si>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</si>
  <si>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</si>
  <si>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</si>
  <si>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</si>
  <si>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</si>
  <si>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</si>
  <si>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</si>
  <si>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</si>
  <si>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</si>
  <si>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</si>
  <si>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</si>
  <si>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</si>
  <si>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</si>
  <si>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</si>
  <si>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</si>
  <si>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</si>
  <si>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</si>
  <si>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</si>
  <si>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</si>
  <si>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</si>
  <si>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</si>
  <si>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</si>
  <si>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</si>
  <si>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</si>
  <si>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</si>
  <si>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</si>
  <si>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</si>
  <si>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</si>
  <si>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</si>
  <si>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</si>
  <si>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</si>
  <si>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</si>
  <si>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</si>
  <si>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</si>
  <si>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</si>
  <si>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</si>
  <si>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</si>
  <si>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</si>
  <si>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</si>
  <si>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</si>
  <si>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</si>
  <si>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</si>
  <si>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</si>
  <si>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</si>
  <si>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</si>
  <si>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</si>
  <si>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</si>
  <si>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</si>
  <si>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</si>
  <si>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</si>
  <si>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</si>
  <si>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</si>
  <si>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</si>
  <si>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</si>
  <si>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</si>
  <si>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</si>
  <si>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</si>
  <si>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</si>
  <si>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</si>
  <si>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</si>
  <si>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</si>
  <si>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</si>
  <si>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</si>
  <si>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</si>
  <si>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</si>
  <si>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</si>
  <si>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</si>
  <si>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</si>
  <si>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</si>
  <si>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</si>
  <si>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</si>
  <si>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</si>
  <si>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</si>
  <si>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</si>
  <si>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</si>
  <si>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</si>
  <si>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</si>
  <si>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</si>
  <si>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</si>
  <si>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</si>
  <si>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</si>
  <si>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</si>
  <si>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</si>
  <si>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</si>
  <si>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</si>
  <si>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</si>
  <si>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</si>
  <si>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</si>
  <si>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</si>
  <si>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</si>
  <si>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</si>
  <si>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</si>
  <si>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</si>
  <si>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</si>
  <si>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</si>
  <si>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</si>
  <si>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</si>
  <si>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</si>
  <si>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</si>
  <si>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</si>
  <si>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</si>
  <si>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</si>
  <si>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</si>
  <si>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</si>
  <si>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</si>
  <si>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</si>
  <si>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</si>
  <si>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</si>
  <si>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</si>
  <si>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</si>
  <si>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</si>
  <si>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</si>
  <si>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</si>
  <si>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</si>
  <si>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</si>
  <si>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</si>
  <si>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</si>
  <si>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</si>
  <si>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</si>
  <si>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</si>
  <si>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</si>
  <si>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</si>
  <si>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</si>
  <si>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</si>
  <si>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</si>
  <si>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</si>
  <si>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</si>
  <si>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</si>
  <si>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</si>
  <si>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</si>
  <si>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</si>
  <si>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</si>
  <si>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</si>
  <si>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</si>
  <si>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</si>
  <si>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</si>
  <si>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</si>
  <si>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</si>
  <si>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</si>
  <si>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</si>
  <si>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</si>
  <si>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</si>
  <si>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</si>
  <si>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</si>
  <si>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</si>
  <si>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</si>
  <si>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</si>
  <si>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</si>
  <si>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</si>
  <si>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</si>
  <si>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</si>
  <si>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</si>
  <si>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</si>
  <si>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</si>
  <si>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</si>
  <si>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</si>
  <si>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</si>
  <si>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</si>
  <si>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</si>
  <si>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</si>
  <si>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</si>
  <si>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</si>
  <si>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</si>
  <si>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</si>
  <si>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</si>
  <si>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</si>
  <si>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</si>
  <si>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</si>
  <si>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</si>
  <si>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</si>
  <si>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</si>
  <si>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</si>
  <si>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</si>
  <si>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</si>
  <si>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</si>
  <si>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</si>
  <si>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</si>
  <si>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</si>
  <si>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</si>
  <si>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</si>
  <si>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</si>
  <si>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</si>
  <si>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</si>
  <si>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</si>
  <si>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</si>
  <si>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</si>
  <si>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</si>
  <si>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</si>
  <si>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</si>
  <si>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</si>
  <si>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</si>
  <si>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</si>
  <si>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</si>
  <si>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</si>
  <si>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</si>
  <si>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</si>
  <si>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</si>
  <si>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</si>
  <si>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</si>
  <si>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</si>
  <si>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</si>
  <si>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</si>
  <si>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</si>
  <si>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</si>
  <si>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</si>
  <si>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</si>
  <si>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</si>
  <si>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</si>
  <si>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</si>
  <si>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</si>
  <si>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</si>
  <si>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</si>
  <si>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</si>
  <si>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</si>
  <si>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</si>
  <si>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</si>
  <si>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</si>
  <si>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</si>
  <si>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</si>
  <si>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</si>
  <si>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</si>
  <si>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</si>
  <si>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</si>
  <si>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</si>
  <si>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</si>
  <si>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</si>
  <si>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</si>
  <si>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</si>
  <si>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</si>
  <si>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</si>
  <si>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</si>
  <si>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</si>
  <si>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</si>
  <si>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</si>
  <si>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</si>
  <si>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</si>
  <si>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</si>
  <si>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</si>
  <si>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</si>
  <si>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</si>
  <si>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</si>
  <si>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</si>
  <si>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</si>
  <si>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</si>
  <si>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</si>
  <si>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</si>
  <si>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</si>
  <si>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</si>
  <si>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</si>
  <si>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</si>
  <si>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</si>
  <si>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</si>
  <si>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</si>
  <si>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</si>
  <si>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</si>
  <si>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</si>
  <si>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</si>
  <si>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</si>
  <si>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</si>
  <si>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</si>
  <si>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</si>
  <si>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</si>
  <si>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</si>
  <si>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</si>
  <si>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</si>
  <si>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</si>
  <si>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</si>
  <si>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</si>
  <si>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</si>
  <si>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</si>
  <si>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</si>
  <si>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</si>
  <si>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</si>
  <si>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</si>
  <si>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</si>
  <si>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</si>
  <si>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</si>
  <si>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</si>
  <si>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</si>
  <si>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</si>
  <si>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</si>
  <si>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</si>
  <si>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</si>
  <si>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</si>
  <si>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</si>
  <si>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</si>
  <si>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</si>
  <si>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</si>
  <si>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</si>
  <si>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</si>
  <si>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</si>
  <si>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</si>
  <si>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</si>
  <si>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</si>
  <si>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</si>
  <si>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</si>
  <si>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</si>
  <si>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</si>
  <si>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</si>
  <si>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</si>
  <si>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</si>
  <si>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</si>
  <si>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</si>
  <si>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</si>
  <si>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</si>
  <si>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</si>
  <si>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</si>
  <si>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</si>
  <si>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</si>
  <si>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</si>
  <si>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</si>
  <si>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</si>
  <si>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</si>
  <si>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</si>
  <si>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</si>
  <si>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</si>
  <si>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</si>
  <si>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</si>
  <si>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</si>
  <si>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</si>
  <si>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</si>
  <si>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</si>
  <si>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</si>
  <si>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</si>
  <si>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</si>
  <si>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</si>
  <si>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</si>
  <si>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</si>
  <si>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</si>
  <si>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</si>
  <si>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</si>
  <si>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</si>
  <si>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</si>
  <si>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</si>
  <si>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</si>
  <si>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</si>
  <si>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</si>
  <si>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</si>
  <si>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</si>
  <si>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</si>
  <si>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</si>
  <si>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</si>
  <si>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</si>
  <si>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</si>
  <si>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</si>
  <si>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</si>
  <si>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</si>
  <si>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</si>
  <si>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</si>
  <si>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</si>
  <si>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</si>
  <si>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</si>
  <si>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</si>
  <si>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</si>
  <si>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</si>
  <si>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</si>
  <si>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</si>
  <si>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</si>
  <si>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</si>
  <si>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</si>
  <si>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</si>
  <si>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</si>
  <si>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</si>
  <si>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</si>
  <si>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</si>
  <si>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</si>
  <si>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</si>
  <si>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</si>
  <si>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</si>
  <si>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</si>
  <si>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</si>
  <si>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</si>
  <si>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</si>
  <si>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</si>
  <si>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</si>
  <si>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</si>
  <si>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</si>
  <si>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</si>
  <si>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</si>
  <si>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</si>
  <si>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</si>
  <si>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</si>
  <si>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</si>
  <si>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</si>
  <si>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</si>
  <si>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</si>
  <si>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</si>
  <si>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</si>
  <si>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</si>
  <si>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</si>
  <si>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</si>
  <si>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</si>
  <si>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</si>
  <si>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</si>
  <si>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</si>
  <si>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</si>
  <si>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</si>
  <si>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</si>
  <si>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</si>
  <si>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</si>
  <si>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</si>
  <si>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</si>
  <si>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</si>
  <si>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</si>
  <si>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</si>
  <si>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</si>
  <si>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</si>
  <si>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</si>
  <si>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</si>
  <si>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</si>
  <si>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</si>
  <si>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</si>
  <si>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</si>
  <si>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</si>
  <si>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</si>
  <si>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</si>
  <si>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</si>
  <si>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</si>
  <si>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</si>
  <si>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</si>
  <si>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</si>
  <si>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</si>
  <si>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</si>
  <si>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</si>
  <si>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</si>
  <si>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</si>
  <si>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</si>
  <si>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</si>
  <si>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</si>
  <si>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</si>
  <si>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</si>
  <si>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</si>
  <si>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</si>
  <si>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</si>
  <si>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</si>
  <si>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</si>
  <si>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</si>
  <si>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</si>
  <si>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</si>
  <si>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</si>
  <si>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</si>
  <si>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</si>
  <si>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</si>
  <si>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</si>
  <si>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</si>
  <si>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</si>
  <si>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</si>
  <si>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</si>
  <si>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</si>
  <si>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</si>
  <si>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</si>
  <si>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</si>
  <si>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</si>
  <si>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</si>
  <si>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</si>
  <si>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</si>
  <si>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</si>
  <si>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</si>
  <si>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</si>
  <si>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</si>
  <si>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</si>
  <si>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</si>
  <si>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</si>
  <si>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</si>
  <si>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</si>
  <si>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</si>
  <si>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</si>
  <si>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</si>
  <si>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</si>
  <si>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</si>
  <si>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</si>
  <si>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</si>
  <si>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</si>
  <si>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</si>
  <si>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</si>
  <si>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</si>
  <si>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</si>
  <si>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</si>
  <si>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</si>
  <si>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</si>
  <si>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</si>
  <si>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</si>
  <si>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</si>
  <si>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</si>
  <si>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</si>
  <si>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</si>
  <si>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</si>
  <si>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</si>
  <si>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</si>
  <si>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</si>
  <si>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</si>
  <si>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</si>
  <si>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</si>
  <si>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</si>
  <si>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</si>
  <si>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</si>
  <si>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</si>
  <si>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</si>
  <si>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</si>
  <si>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</si>
  <si>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</si>
  <si>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</si>
  <si>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</si>
  <si>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</si>
  <si>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</si>
  <si>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</si>
  <si>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</si>
  <si>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</si>
  <si>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</si>
  <si>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</si>
  <si>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</si>
  <si>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</si>
  <si>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</si>
  <si>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</si>
  <si>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</si>
  <si>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</si>
  <si>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</si>
  <si>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</si>
  <si>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</si>
  <si>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</si>
  <si>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</si>
  <si>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</si>
  <si>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</si>
  <si>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</si>
  <si>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</si>
  <si>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</si>
  <si>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</si>
  <si>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</si>
  <si>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</si>
  <si>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</si>
  <si>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</si>
  <si>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</si>
  <si>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</si>
  <si>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</si>
  <si>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</si>
  <si>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</si>
  <si>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</si>
  <si>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</si>
  <si>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</si>
  <si>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</si>
  <si>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</si>
  <si>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</si>
  <si>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</si>
  <si>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</si>
  <si>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</si>
  <si>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</si>
  <si>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</si>
  <si>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</si>
  <si>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</si>
  <si>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</si>
  <si>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</si>
  <si>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</si>
  <si>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</si>
  <si>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</si>
  <si>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</si>
  <si>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</si>
  <si>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</si>
  <si>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</si>
  <si>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</si>
  <si>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</si>
  <si>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</si>
  <si>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</si>
  <si>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</si>
  <si>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</si>
  <si>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</si>
  <si>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</si>
  <si>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</si>
  <si>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</si>
  <si>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</si>
  <si>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</si>
  <si>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</si>
  <si>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</si>
  <si>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</si>
  <si>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</si>
  <si>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</si>
  <si>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</si>
  <si>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</si>
  <si>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</si>
  <si>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</si>
  <si>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</si>
  <si>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</si>
  <si>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</si>
  <si>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</si>
  <si>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</si>
  <si>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</si>
  <si>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</si>
  <si>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</si>
  <si>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</si>
  <si>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</si>
  <si>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</si>
  <si>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</si>
  <si>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</si>
  <si>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</si>
  <si>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</si>
  <si>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</si>
  <si>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</si>
  <si>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</si>
  <si>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</si>
  <si>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</si>
  <si>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</si>
  <si>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</si>
  <si>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</si>
  <si>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</si>
  <si>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</si>
  <si>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</si>
  <si>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</si>
  <si>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</si>
  <si>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</si>
  <si>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</si>
  <si>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</si>
  <si>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</si>
  <si>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</si>
  <si>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</si>
  <si>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</si>
  <si>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</si>
  <si>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</si>
  <si>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</si>
  <si>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</si>
  <si>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</si>
  <si>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</si>
  <si>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</si>
  <si>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</si>
  <si>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</si>
  <si>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</si>
  <si>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</si>
  <si>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</si>
  <si>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</si>
  <si>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</si>
  <si>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</si>
  <si>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</si>
  <si>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</si>
  <si>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</si>
  <si>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</si>
  <si>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</si>
  <si>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</si>
  <si>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</si>
  <si>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</si>
  <si>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</si>
  <si>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</si>
  <si>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</si>
  <si>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</si>
  <si>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</si>
  <si>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</si>
  <si>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</si>
  <si>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</si>
  <si>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</si>
  <si>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</si>
  <si>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</si>
  <si>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</si>
  <si>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</si>
  <si>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</si>
  <si>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</si>
  <si>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</si>
  <si>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</si>
  <si>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</si>
  <si>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</si>
  <si>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</si>
  <si>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</si>
  <si>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</si>
  <si>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</si>
  <si>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</si>
  <si>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</si>
  <si>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</si>
  <si>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</si>
  <si>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</si>
  <si>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</si>
  <si>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</si>
  <si>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</si>
  <si>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</si>
  <si>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</si>
  <si>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</si>
  <si>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</si>
  <si>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</si>
  <si>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</si>
  <si>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</si>
  <si>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</si>
  <si>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</si>
  <si>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</si>
  <si>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</si>
  <si>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</si>
  <si>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</si>
  <si>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</si>
  <si>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</si>
  <si>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</si>
  <si>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</si>
  <si>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</si>
  <si>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</si>
  <si>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</si>
  <si>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</si>
  <si>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</si>
  <si>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</si>
  <si>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</si>
  <si>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</si>
  <si>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</si>
  <si>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</si>
  <si>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</si>
  <si>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</si>
  <si>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</si>
  <si>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</si>
  <si>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</si>
  <si>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</si>
  <si>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</si>
  <si>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</si>
  <si>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</si>
  <si>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</si>
  <si>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</si>
  <si>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</si>
  <si>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</si>
  <si>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</si>
  <si>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</si>
  <si>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</si>
  <si>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</si>
  <si>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</si>
  <si>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</si>
  <si>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</si>
  <si>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</si>
  <si>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</si>
  <si>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</si>
  <si>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</si>
  <si>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</si>
  <si>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</si>
  <si>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</si>
  <si>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</si>
  <si>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</si>
  <si>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</si>
  <si>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</si>
  <si>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</si>
  <si>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</si>
  <si>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</si>
  <si>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</si>
  <si>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</si>
  <si>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</si>
  <si>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</si>
  <si>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</si>
  <si>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</si>
  <si>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</si>
  <si>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</si>
  <si>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</si>
  <si>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</si>
  <si>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</si>
  <si>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</si>
  <si>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</si>
  <si>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</si>
  <si>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</si>
  <si>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</si>
  <si>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</si>
  <si>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</si>
  <si>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</si>
  <si>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</si>
  <si>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</si>
  <si>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</si>
  <si>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</si>
  <si>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</si>
  <si>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</si>
  <si>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</si>
  <si>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</si>
  <si>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</si>
  <si>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</si>
  <si>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</si>
  <si>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</si>
  <si>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</si>
  <si>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</si>
  <si>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</si>
  <si>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</si>
  <si>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</si>
  <si>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</si>
  <si>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</si>
  <si>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</si>
  <si>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</si>
  <si>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</si>
  <si>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</si>
  <si>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</si>
  <si>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</si>
  <si>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</si>
  <si>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</si>
  <si>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</si>
  <si>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</si>
  <si>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</si>
  <si>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</si>
  <si>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</si>
  <si>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</si>
  <si>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</si>
  <si>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</si>
  <si>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</si>
  <si>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</si>
  <si>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</si>
  <si>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</si>
  <si>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</si>
  <si>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</si>
  <si>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</si>
  <si>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</si>
  <si>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</si>
  <si>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</si>
  <si>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</si>
  <si>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</si>
  <si>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</si>
  <si>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</si>
  <si>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</si>
  <si>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</si>
  <si>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</si>
  <si>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</si>
  <si>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</si>
  <si>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</si>
  <si>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</si>
  <si>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</si>
  <si>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</si>
  <si>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</si>
  <si>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</si>
  <si>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</si>
  <si>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</si>
  <si>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</si>
  <si>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</si>
  <si>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</si>
  <si>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</si>
  <si>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</si>
  <si>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</si>
  <si>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</si>
  <si>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</si>
  <si>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</si>
  <si>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</si>
  <si>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</si>
  <si>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</si>
  <si>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</si>
  <si>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</si>
  <si>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</si>
  <si>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</si>
  <si>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</si>
  <si>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</si>
  <si>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</si>
  <si>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</si>
  <si>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</si>
  <si>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</si>
  <si>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</si>
  <si>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</si>
  <si>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</si>
  <si>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</si>
  <si>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</si>
  <si>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</si>
  <si>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</si>
  <si>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</si>
  <si>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</si>
  <si>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</si>
  <si>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</si>
  <si>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</si>
  <si>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</si>
  <si>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</si>
  <si>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</si>
  <si>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</si>
  <si>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</si>
  <si>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</si>
  <si>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</si>
  <si>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</si>
  <si>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</si>
  <si>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</si>
  <si>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</si>
  <si>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</si>
  <si>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</si>
  <si>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</si>
  <si>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</si>
  <si>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</si>
  <si>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</si>
  <si>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</si>
  <si>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</si>
  <si>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</si>
  <si>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</si>
  <si>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</si>
  <si>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</si>
  <si>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</si>
  <si>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</si>
  <si>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</si>
  <si>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</si>
  <si>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</si>
  <si>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</si>
  <si>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</si>
  <si>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</si>
  <si>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</si>
  <si>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</si>
  <si>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</si>
  <si>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</si>
  <si>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</si>
  <si>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</si>
  <si>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</si>
  <si>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</si>
  <si>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</si>
  <si>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</si>
  <si>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</si>
  <si>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</si>
  <si>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</si>
  <si>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</si>
  <si>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</si>
  <si>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</si>
  <si>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</si>
  <si>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</si>
  <si>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</si>
  <si>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</si>
  <si>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</si>
  <si>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</si>
  <si>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</si>
  <si>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</si>
  <si>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</si>
  <si>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</si>
  <si>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</si>
  <si>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</si>
  <si>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</si>
  <si>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</si>
  <si>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</si>
  <si>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</si>
  <si>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</si>
  <si>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</si>
  <si>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</si>
  <si>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</si>
  <si>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</si>
  <si>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</si>
  <si>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</si>
  <si>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</si>
  <si>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</si>
  <si>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</si>
  <si>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</si>
  <si>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</si>
  <si>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</si>
  <si>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</si>
  <si>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</si>
  <si>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</si>
  <si>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</si>
  <si>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</si>
  <si>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</si>
  <si>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</si>
  <si>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</si>
  <si>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</si>
  <si>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</si>
  <si>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</si>
  <si>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</si>
  <si>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</si>
  <si>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</si>
  <si>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</si>
  <si>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</si>
  <si>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</si>
  <si>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</si>
  <si>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</si>
  <si>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</si>
  <si>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</si>
  <si>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</si>
  <si>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</si>
  <si>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</si>
  <si>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</si>
  <si>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</si>
  <si>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</si>
  <si>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</si>
  <si>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</si>
  <si>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</si>
  <si>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</si>
  <si>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</si>
  <si>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</si>
  <si>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</si>
  <si>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</si>
  <si>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</si>
  <si>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</si>
  <si>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</si>
  <si>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</si>
  <si>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</si>
  <si>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</si>
  <si>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</si>
  <si>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</si>
  <si>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</si>
  <si>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</si>
  <si>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</si>
  <si>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</si>
  <si>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</si>
  <si>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</si>
  <si>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</si>
  <si>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</si>
  <si>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</si>
  <si>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</si>
  <si>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</si>
  <si>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</si>
  <si>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</si>
  <si>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</si>
  <si>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</si>
  <si>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</si>
  <si>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</si>
  <si>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</si>
  <si>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</si>
  <si>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</si>
  <si>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</si>
  <si>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</si>
  <si>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</si>
  <si>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</si>
  <si>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</si>
  <si>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</si>
  <si>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</si>
  <si>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</si>
  <si>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</si>
  <si>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</si>
  <si>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</si>
  <si>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</si>
  <si>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</si>
  <si>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</si>
  <si>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</si>
  <si>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</si>
  <si>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</si>
  <si>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</si>
  <si>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</si>
  <si>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</si>
  <si>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</si>
  <si>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</si>
  <si>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</si>
  <si>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</si>
  <si>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</si>
  <si>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</si>
  <si>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</si>
  <si>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</si>
  <si>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</si>
  <si>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</si>
  <si>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</si>
  <si>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</si>
  <si>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</si>
  <si>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</si>
  <si>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</si>
  <si>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</si>
  <si>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</si>
  <si>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</si>
  <si>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</si>
  <si>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</si>
  <si>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</si>
  <si>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</si>
  <si>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</si>
  <si>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</si>
  <si>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</si>
  <si>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</si>
  <si>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</si>
  <si>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</si>
  <si>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</si>
  <si>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</si>
  <si>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</si>
  <si>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</si>
  <si>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</si>
  <si>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</si>
  <si>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</si>
  <si>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</si>
  <si>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</si>
  <si>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</si>
  <si>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</si>
  <si>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</si>
  <si>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</si>
  <si>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</si>
  <si>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</si>
  <si>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</si>
  <si>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</si>
  <si>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</si>
  <si>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</si>
  <si>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</si>
  <si>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</si>
  <si>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</si>
  <si>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</si>
  <si>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</si>
  <si>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</si>
  <si>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</si>
  <si>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</si>
  <si>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</si>
  <si>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</si>
  <si>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</si>
  <si>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</si>
  <si>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</si>
  <si>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</si>
  <si>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</si>
  <si>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</si>
  <si>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</si>
  <si>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</si>
  <si>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</si>
  <si>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</si>
  <si>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</si>
  <si>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</si>
  <si>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</si>
  <si>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</si>
  <si>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</si>
  <si>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</si>
  <si>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</si>
  <si>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</si>
  <si>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</si>
  <si>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</si>
  <si>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</si>
  <si>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</si>
  <si>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</si>
  <si>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</si>
  <si>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</si>
  <si>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</si>
  <si>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</si>
  <si>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</si>
  <si>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</si>
  <si>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</si>
  <si>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</si>
  <si>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</si>
  <si>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</si>
  <si>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</si>
  <si>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</si>
  <si>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</si>
  <si>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</si>
  <si>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</si>
  <si>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</si>
  <si>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</si>
  <si>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</si>
  <si>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</si>
  <si>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</si>
  <si>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</si>
  <si>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</si>
  <si>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</si>
  <si>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</si>
  <si>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</si>
  <si>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</si>
  <si>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</si>
  <si>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</si>
  <si>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</si>
  <si>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</si>
  <si>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</si>
  <si>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</si>
  <si>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</si>
  <si>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</si>
  <si>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</si>
  <si>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</si>
  <si>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</si>
  <si>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</si>
  <si>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</si>
  <si>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</si>
  <si>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</si>
  <si>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</si>
  <si>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</si>
  <si>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</si>
  <si>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</si>
  <si>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</si>
  <si>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</si>
  <si>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</si>
  <si>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</si>
  <si>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</si>
  <si>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</si>
  <si>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</si>
  <si>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</si>
  <si>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</si>
  <si>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</si>
  <si>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</si>
  <si>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</si>
  <si>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</si>
  <si>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</si>
  <si>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</si>
  <si>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</si>
  <si>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</si>
  <si>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</si>
  <si>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</si>
  <si>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</si>
  <si>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</si>
  <si>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</si>
  <si>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</si>
  <si>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</si>
  <si>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</si>
  <si>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</si>
  <si>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</si>
  <si>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</si>
  <si>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</si>
  <si>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</si>
  <si>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</si>
  <si>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</si>
  <si>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</si>
  <si>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</si>
  <si>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</si>
  <si>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</si>
  <si>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</si>
  <si>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</si>
  <si>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</si>
  <si>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</si>
  <si>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</si>
  <si>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</si>
  <si>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</si>
  <si>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</si>
  <si>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</si>
  <si>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</si>
  <si>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</si>
  <si>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</si>
  <si>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</si>
  <si>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</si>
  <si>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</si>
  <si>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</si>
  <si>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</si>
  <si>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</si>
  <si>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</si>
  <si>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</si>
  <si>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</si>
  <si>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</si>
  <si>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</si>
  <si>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</si>
  <si>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</si>
  <si>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</si>
  <si>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</si>
  <si>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</si>
  <si>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</si>
  <si>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</si>
  <si>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</si>
  <si>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</si>
  <si>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</si>
  <si>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</si>
  <si>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</si>
  <si>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</si>
  <si>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</si>
  <si>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</si>
  <si>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</si>
  <si>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</si>
  <si>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</si>
  <si>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</si>
  <si>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</si>
  <si>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</si>
  <si>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</si>
  <si>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</si>
  <si>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</si>
  <si>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</si>
  <si>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</si>
  <si>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</si>
  <si>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</si>
  <si>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</si>
  <si>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</si>
  <si>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</si>
  <si>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</si>
  <si>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</si>
  <si>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</si>
  <si>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</si>
  <si>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</si>
  <si>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</si>
  <si>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</si>
  <si>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</si>
  <si>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</si>
  <si>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</si>
  <si>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</si>
  <si>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</si>
  <si>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</si>
  <si>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</si>
  <si>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</si>
  <si>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</si>
  <si>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</si>
  <si>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</si>
  <si>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</si>
  <si>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</si>
  <si>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</si>
  <si>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</si>
  <si>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</si>
  <si>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</si>
  <si>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</si>
  <si>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</si>
  <si>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</si>
  <si>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</si>
  <si>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</si>
  <si>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</si>
  <si>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</si>
  <si>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</si>
  <si>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</si>
  <si>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</si>
  <si>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</si>
  <si>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</si>
  <si>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</si>
  <si>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</si>
  <si>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</si>
  <si>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</si>
  <si>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</si>
  <si>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</si>
  <si>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</si>
  <si>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</si>
  <si>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</si>
  <si>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</si>
  <si>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</si>
  <si>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</si>
  <si>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</si>
  <si>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</si>
  <si>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</si>
  <si>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</si>
  <si>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</si>
  <si>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</si>
  <si>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</si>
  <si>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</si>
  <si>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</si>
  <si>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</si>
  <si>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</si>
  <si>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</si>
  <si>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</si>
  <si>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</si>
  <si>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</si>
  <si>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</si>
  <si>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</si>
  <si>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</si>
  <si>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</si>
  <si>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</si>
  <si>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</si>
  <si>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</si>
  <si>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</si>
  <si>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</si>
  <si>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</si>
  <si>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</si>
  <si>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</si>
  <si>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</si>
  <si>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</si>
  <si>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</si>
  <si>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</si>
  <si>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</si>
  <si>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</si>
  <si>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</si>
  <si>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</si>
  <si>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</si>
  <si>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</si>
  <si>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</si>
  <si>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</si>
  <si>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</si>
  <si>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</si>
  <si>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</si>
  <si>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</si>
  <si>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</si>
  <si>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</si>
  <si>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</si>
  <si>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</si>
  <si>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</si>
  <si>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</si>
  <si>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</si>
  <si>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</si>
  <si>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</si>
  <si>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</si>
  <si>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</si>
  <si>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</si>
  <si>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</si>
  <si>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</si>
  <si>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</si>
  <si>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</si>
  <si>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</si>
  <si>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</si>
  <si>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</si>
  <si>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</si>
  <si>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</si>
  <si>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</si>
  <si>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</si>
  <si>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</si>
  <si>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</si>
  <si>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</si>
  <si>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</si>
  <si>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</si>
  <si>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</si>
  <si>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</si>
  <si>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</si>
  <si>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</si>
  <si>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</si>
  <si>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</si>
  <si>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</si>
  <si>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</si>
  <si>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</si>
  <si>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</si>
  <si>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</si>
  <si>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</si>
  <si>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</si>
  <si>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</si>
  <si>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</si>
  <si>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</si>
  <si>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</si>
  <si>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</si>
  <si>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</si>
  <si>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</si>
  <si>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</si>
  <si>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</si>
  <si>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</si>
  <si>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</si>
  <si>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</si>
  <si>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</si>
  <si>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</si>
  <si>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</si>
  <si>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</si>
  <si>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</si>
  <si>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</si>
  <si>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</si>
  <si>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</si>
  <si>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</si>
  <si>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</si>
  <si>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</si>
  <si>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</si>
  <si>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</si>
  <si>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</si>
  <si>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</si>
  <si>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</si>
  <si>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</si>
  <si>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</si>
  <si>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</si>
  <si>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</si>
  <si>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</si>
  <si>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</si>
  <si>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</si>
  <si>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</si>
  <si>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</si>
  <si>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</si>
  <si>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</si>
  <si>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</si>
  <si>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</si>
  <si>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</si>
  <si>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</si>
  <si>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</si>
  <si>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</si>
  <si>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</si>
  <si>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</si>
  <si>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</si>
  <si>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</si>
  <si>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</si>
  <si>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</si>
  <si>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</si>
  <si>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</si>
  <si>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</si>
  <si>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</si>
  <si>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</si>
  <si>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</si>
  <si>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</si>
  <si>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</si>
  <si>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</si>
  <si>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</si>
  <si>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</si>
  <si>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</si>
  <si>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</si>
  <si>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</si>
  <si>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</si>
  <si>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</si>
  <si>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</si>
  <si>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</si>
  <si>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</si>
  <si>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</si>
  <si>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</si>
  <si>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</si>
  <si>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</si>
  <si>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</si>
  <si>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</si>
  <si>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</si>
  <si>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</si>
  <si>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</si>
  <si>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</si>
  <si>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</si>
  <si>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</si>
  <si>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</si>
  <si>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</si>
  <si>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</si>
  <si>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</si>
  <si>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</si>
  <si>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</si>
  <si>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</si>
  <si>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</si>
  <si>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</si>
  <si>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</si>
  <si>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</si>
  <si>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</si>
  <si>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</si>
  <si>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</si>
  <si>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</si>
  <si>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</si>
  <si>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</si>
  <si>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</si>
  <si>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</si>
  <si>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</si>
  <si>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</si>
  <si>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</si>
  <si>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</si>
  <si>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</si>
  <si>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</si>
  <si>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</si>
  <si>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</si>
  <si>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</si>
  <si>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</si>
  <si>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</si>
  <si>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</si>
  <si>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</si>
  <si>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</si>
  <si>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</si>
  <si>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</si>
  <si>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</si>
  <si>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</si>
  <si>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</si>
  <si>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</si>
  <si>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</si>
  <si>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</si>
  <si>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</si>
  <si>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</si>
  <si>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</si>
  <si>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</si>
  <si>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</si>
  <si>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</si>
  <si>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</si>
  <si>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</si>
  <si>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</si>
  <si>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</si>
  <si>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</si>
  <si>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</si>
  <si>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</si>
  <si>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</si>
  <si>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</si>
  <si>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</si>
  <si>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</si>
  <si>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</si>
  <si>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</si>
  <si>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</si>
  <si>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</si>
  <si>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</si>
  <si>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</si>
  <si>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</si>
  <si>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</si>
  <si>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</si>
  <si>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</si>
  <si>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</si>
  <si>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</si>
  <si>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</si>
  <si>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</si>
  <si>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</si>
  <si>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</si>
  <si>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</si>
  <si>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</si>
  <si>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</si>
  <si>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</si>
  <si>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</si>
  <si>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</si>
  <si>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</si>
  <si>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</si>
  <si>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</si>
  <si>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</si>
  <si>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</si>
  <si>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</si>
  <si>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</si>
  <si>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</si>
  <si>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</si>
  <si>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</si>
  <si>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</si>
  <si>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</si>
  <si>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</si>
  <si>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</si>
  <si>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</si>
  <si>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</si>
  <si>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</si>
  <si>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</si>
  <si>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</si>
  <si>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</si>
  <si>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</si>
  <si>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</si>
  <si>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</si>
  <si>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</si>
  <si>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</si>
  <si>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</si>
  <si>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</si>
  <si>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</si>
  <si>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</si>
  <si>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</si>
  <si>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</si>
  <si>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</si>
  <si>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</si>
  <si>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</si>
  <si>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</si>
  <si>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</si>
  <si>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</si>
  <si>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</si>
  <si>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</si>
  <si>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</si>
  <si>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</si>
  <si>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</si>
  <si>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</si>
  <si>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</si>
  <si>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</si>
  <si>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</si>
  <si>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</si>
  <si>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</si>
  <si>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</si>
  <si>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</si>
  <si>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</si>
  <si>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</si>
  <si>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</si>
  <si>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</si>
  <si>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</si>
  <si>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</si>
  <si>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</si>
  <si>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</si>
  <si>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</si>
  <si>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</si>
  <si>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</si>
  <si>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</si>
  <si>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</si>
  <si>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</si>
  <si>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</si>
  <si>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</si>
  <si>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</si>
  <si>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</si>
  <si>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</si>
  <si>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</si>
  <si>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</si>
  <si>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</si>
  <si>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</si>
  <si>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</si>
  <si>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</si>
  <si>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</si>
  <si>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</si>
  <si>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</si>
  <si>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</si>
  <si>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</si>
  <si>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</si>
  <si>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</si>
  <si>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</si>
  <si>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</si>
  <si>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</si>
  <si>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</si>
  <si>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</si>
  <si>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</si>
  <si>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</si>
  <si>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</si>
  <si>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</si>
  <si>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</si>
  <si>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</si>
  <si>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</si>
  <si>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</si>
  <si>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</si>
  <si>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</si>
  <si>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</si>
  <si>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</si>
  <si>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</si>
  <si>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</si>
  <si>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</si>
  <si>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</si>
  <si>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</si>
  <si>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</si>
  <si>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</si>
  <si>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</si>
  <si>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</si>
  <si>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</si>
  <si>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</si>
  <si>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</si>
  <si>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</si>
  <si>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</si>
  <si>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</si>
  <si>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</si>
  <si>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</si>
  <si>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</si>
  <si>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</si>
  <si>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</si>
  <si>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</si>
  <si>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</si>
  <si>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</si>
  <si>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</si>
  <si>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</si>
  <si>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</si>
  <si>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</si>
  <si>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</si>
  <si>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</si>
  <si>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</si>
  <si>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</si>
  <si>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</si>
  <si>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</si>
  <si>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</si>
  <si>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</si>
  <si>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</si>
  <si>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</si>
  <si>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</si>
  <si>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</si>
  <si>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</si>
  <si>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</si>
  <si>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</si>
  <si>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</si>
  <si>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</si>
  <si>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</si>
  <si>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</si>
  <si>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</si>
  <si>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</si>
  <si>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</si>
  <si>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</si>
  <si>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</si>
  <si>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</si>
  <si>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</si>
  <si>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</si>
  <si>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</si>
  <si>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</si>
  <si>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</si>
  <si>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</si>
  <si>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</si>
  <si>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</si>
  <si>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</si>
  <si>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</si>
  <si>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</si>
  <si>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</si>
  <si>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</si>
  <si>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</si>
  <si>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</si>
  <si>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</si>
  <si>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</si>
  <si>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</si>
  <si>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</si>
  <si>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</si>
  <si>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</si>
  <si>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</si>
  <si>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</si>
  <si>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</si>
  <si>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</si>
  <si>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</si>
  <si>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</si>
  <si>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</si>
  <si>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</si>
  <si>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</si>
  <si>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</si>
  <si>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</si>
  <si>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</si>
  <si>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</si>
  <si>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</si>
  <si>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</si>
  <si>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</si>
  <si>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</si>
  <si>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</si>
  <si>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</si>
  <si>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</si>
  <si>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</si>
  <si>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</si>
  <si>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</si>
  <si>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</si>
  <si>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</si>
  <si>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</si>
  <si>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</si>
  <si>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</si>
  <si>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</si>
  <si>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</si>
  <si>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</si>
  <si>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</si>
  <si>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</si>
  <si>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</si>
  <si>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</si>
  <si>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</si>
  <si>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</si>
  <si>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</si>
  <si>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</si>
  <si>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</si>
  <si>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</si>
  <si>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</si>
  <si>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</si>
  <si>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</si>
  <si>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</si>
  <si>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</si>
  <si>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</si>
  <si>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</si>
  <si>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</si>
  <si>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</si>
  <si>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</si>
  <si>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</si>
  <si>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</si>
  <si>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</si>
  <si>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</si>
  <si>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</si>
  <si>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</si>
  <si>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</si>
  <si>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</si>
  <si>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</si>
  <si>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</si>
  <si>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</si>
  <si>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</si>
  <si>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</si>
  <si>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</si>
  <si>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</si>
  <si>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</si>
  <si>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</si>
  <si>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</si>
  <si>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</si>
  <si>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</si>
  <si>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</si>
  <si>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</si>
  <si>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</si>
  <si>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</si>
  <si>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</si>
  <si>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</si>
  <si>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</si>
  <si>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</si>
  <si>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</si>
  <si>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</si>
  <si>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</si>
  <si>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</si>
  <si>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</si>
  <si>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</si>
  <si>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</si>
  <si>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</si>
  <si>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</si>
  <si>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</si>
  <si>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</si>
  <si>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</si>
  <si>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</si>
  <si>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</si>
  <si>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</si>
  <si>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</si>
  <si>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</si>
  <si>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</si>
  <si>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</si>
  <si>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</si>
  <si>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</si>
  <si>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</si>
  <si>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</si>
  <si>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</si>
  <si>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</si>
  <si>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</si>
  <si>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</si>
  <si>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</si>
  <si>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</si>
  <si>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</si>
  <si>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</si>
  <si>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</si>
  <si>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</si>
  <si>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</si>
  <si>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</si>
  <si>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</si>
  <si>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</si>
  <si>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</si>
  <si>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</si>
  <si>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</si>
  <si>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</si>
  <si>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</si>
  <si>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</si>
  <si>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</si>
  <si>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</si>
  <si>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</si>
  <si>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</si>
  <si>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</si>
  <si>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</si>
  <si>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</si>
  <si>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</si>
  <si>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</si>
  <si>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</si>
  <si>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</si>
  <si>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</si>
  <si>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</si>
  <si>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</si>
  <si>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</si>
  <si>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</si>
  <si>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</si>
  <si>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</si>
  <si>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</si>
  <si>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</si>
  <si>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</si>
  <si>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</si>
  <si>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</si>
  <si>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</si>
  <si>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</si>
  <si>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</si>
  <si>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</si>
  <si>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</si>
  <si>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</si>
  <si>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</si>
  <si>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</si>
  <si>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</si>
  <si>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</si>
  <si>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</si>
  <si>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</si>
  <si>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</si>
  <si>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</si>
  <si>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</si>
  <si>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</si>
  <si>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</si>
  <si>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</si>
  <si>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</si>
  <si>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</si>
  <si>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</si>
  <si>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</si>
  <si>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</si>
  <si>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</si>
  <si>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</si>
  <si>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</si>
  <si>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</si>
  <si>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</si>
  <si>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</si>
  <si>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</si>
  <si>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</si>
  <si>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</si>
  <si>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</si>
  <si>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</si>
  <si>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</si>
  <si>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</si>
  <si>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</si>
  <si>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</si>
  <si>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</si>
  <si>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</si>
  <si>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</si>
  <si>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</si>
  <si>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</si>
  <si>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</si>
  <si>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</si>
  <si>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</si>
  <si>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</si>
  <si>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</si>
  <si>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</si>
  <si>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</si>
  <si>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</si>
  <si>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</si>
  <si>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</si>
  <si>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</si>
  <si>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</si>
  <si>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</si>
  <si>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</si>
  <si>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</si>
  <si>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</si>
  <si>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</si>
  <si>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</si>
  <si>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</si>
  <si>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</si>
  <si>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</si>
  <si>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</si>
  <si>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</si>
  <si>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</si>
  <si>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</si>
  <si>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</si>
  <si>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</si>
  <si>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</si>
  <si>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</si>
  <si>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</si>
  <si>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</si>
  <si>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</si>
  <si>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</si>
  <si>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</si>
  <si>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</si>
  <si>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</si>
  <si>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</si>
  <si>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</si>
  <si>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</si>
  <si>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</si>
  <si>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</si>
  <si>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</si>
  <si>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</si>
  <si>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</si>
  <si>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</si>
  <si>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</si>
  <si>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</si>
  <si>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</si>
  <si>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</si>
  <si>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</si>
  <si>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</si>
  <si>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</si>
  <si>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</si>
  <si>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</si>
  <si>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</si>
  <si>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</si>
  <si>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</si>
  <si>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</si>
  <si>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</si>
  <si>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</si>
  <si>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</si>
  <si>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</si>
  <si>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</si>
  <si>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</si>
  <si>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</si>
  <si>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</si>
  <si>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</si>
  <si>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</si>
  <si>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</si>
  <si>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</si>
  <si>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</si>
  <si>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</si>
  <si>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</si>
  <si>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</si>
  <si>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</si>
  <si>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</si>
  <si>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</si>
  <si>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</si>
  <si>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</si>
  <si>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</si>
  <si>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</si>
  <si>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</si>
  <si>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</si>
  <si>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</si>
  <si>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</si>
  <si>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</si>
  <si>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</si>
  <si>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</si>
  <si>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</si>
  <si>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</si>
  <si>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</si>
  <si>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</si>
  <si>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</si>
  <si>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</si>
  <si>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</si>
  <si>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</si>
  <si>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</si>
  <si>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</si>
  <si>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</si>
  <si>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</si>
  <si>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</si>
  <si>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</si>
  <si>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</si>
  <si>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</si>
  <si>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</si>
  <si>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</si>
  <si>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</si>
  <si>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</si>
  <si>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</si>
  <si>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</si>
  <si>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</si>
  <si>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</si>
  <si>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</si>
  <si>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</si>
  <si>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</si>
  <si>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</si>
  <si>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</si>
  <si>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</si>
  <si>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</si>
  <si>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</si>
  <si>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</si>
  <si>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</si>
  <si>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</si>
  <si>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</si>
  <si>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</si>
  <si>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</si>
  <si>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</si>
  <si>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</si>
  <si>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</si>
  <si>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</si>
  <si>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</si>
  <si>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</si>
  <si>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</si>
  <si>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</si>
  <si>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</si>
  <si>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</si>
  <si>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</si>
  <si>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</si>
  <si>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</si>
  <si>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</si>
  <si>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</si>
  <si>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</si>
  <si>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</si>
  <si>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</si>
  <si>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</si>
  <si>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</si>
  <si>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</si>
  <si>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</si>
  <si>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</si>
  <si>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</si>
  <si>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</si>
  <si>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</si>
  <si>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</si>
  <si>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</si>
  <si>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</si>
  <si>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</si>
  <si>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</si>
  <si>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</si>
  <si>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</si>
  <si>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</si>
  <si>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</si>
  <si>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</si>
  <si>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</si>
  <si>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</si>
  <si>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</si>
  <si>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</si>
  <si>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</si>
  <si>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</si>
  <si>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</si>
  <si>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</si>
  <si>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</si>
  <si>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</si>
  <si>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</si>
  <si>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</si>
  <si>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</si>
  <si>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</si>
  <si>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</si>
  <si>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</si>
  <si>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</si>
  <si>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</si>
  <si>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</si>
  <si>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</si>
  <si>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</si>
  <si>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</si>
  <si>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</si>
  <si>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</si>
  <si>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</si>
  <si>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</si>
  <si>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</si>
  <si>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</si>
  <si>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</si>
  <si>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</si>
  <si>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</si>
  <si>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</si>
  <si>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</si>
  <si>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</si>
  <si>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</si>
  <si>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</si>
  <si>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</si>
  <si>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</si>
  <si>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</si>
  <si>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</si>
  <si>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</si>
  <si>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</si>
  <si>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</si>
  <si>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</si>
  <si>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</si>
  <si>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</si>
  <si>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</si>
  <si>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</si>
  <si>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</si>
  <si>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</si>
  <si>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</si>
  <si>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</si>
  <si>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</si>
  <si>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</si>
  <si>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</si>
  <si>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</si>
  <si>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</si>
  <si>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</si>
  <si>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</si>
  <si>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</si>
  <si>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</si>
  <si>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</si>
  <si>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</si>
  <si>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</si>
  <si>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</si>
  <si>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</si>
  <si>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</si>
  <si>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</si>
  <si>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</si>
  <si>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</si>
  <si>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</si>
  <si>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</si>
  <si>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</si>
  <si>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</si>
  <si>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</si>
  <si>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</si>
  <si>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</si>
  <si>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</si>
  <si>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</si>
  <si>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</si>
  <si>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</si>
  <si>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</si>
  <si>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</si>
  <si>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</si>
  <si>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</si>
  <si>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</si>
  <si>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</si>
  <si>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</si>
  <si>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</si>
  <si>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</si>
  <si>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</si>
  <si>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</si>
  <si>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</si>
  <si>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</si>
  <si>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</si>
  <si>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</si>
  <si>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</si>
  <si>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</si>
  <si>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</si>
  <si>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</si>
  <si>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</si>
  <si>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</si>
  <si>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</si>
  <si>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</si>
  <si>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</si>
  <si>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</si>
  <si>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</si>
  <si>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</si>
  <si>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</si>
  <si>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</si>
  <si>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</si>
  <si>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</si>
  <si>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</si>
  <si>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</si>
  <si>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</si>
  <si>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</si>
  <si>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</si>
  <si>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</si>
  <si>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</si>
  <si>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</si>
  <si>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</si>
  <si>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</si>
  <si>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</si>
  <si>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</si>
  <si>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</si>
  <si>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</si>
  <si>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</si>
  <si>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</si>
  <si>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</si>
  <si>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</si>
  <si>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</si>
  <si>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</si>
  <si>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</si>
  <si>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</si>
  <si>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</si>
  <si>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</si>
  <si>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</si>
  <si>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</si>
  <si>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</si>
  <si>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</si>
  <si>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</si>
  <si>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</si>
  <si>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</si>
  <si>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</si>
  <si>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</si>
  <si>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</si>
  <si>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</si>
  <si>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</si>
  <si>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</si>
  <si>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</si>
  <si>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</si>
  <si>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</si>
  <si>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</si>
  <si>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</si>
  <si>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</si>
  <si>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</si>
  <si>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</si>
  <si>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</si>
  <si>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</si>
  <si>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</si>
  <si>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</si>
  <si>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</si>
  <si>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</si>
  <si>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</si>
  <si>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</si>
  <si>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</si>
  <si>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</si>
  <si>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</si>
  <si>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</si>
  <si>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</si>
  <si>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</si>
  <si>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</si>
  <si>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</si>
  <si>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</si>
  <si>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</si>
  <si>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</si>
  <si>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</si>
  <si>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</si>
  <si>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</si>
  <si>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</si>
  <si>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</si>
  <si>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</si>
  <si>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</si>
  <si>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</si>
  <si>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</si>
  <si>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</si>
  <si>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</si>
  <si>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</si>
  <si>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</si>
  <si>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</si>
  <si>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</si>
  <si>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</si>
  <si>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</si>
  <si>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</si>
  <si>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</si>
  <si>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</si>
  <si>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</si>
  <si>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</si>
  <si>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</si>
  <si>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</si>
  <si>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</si>
  <si>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</si>
  <si>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</si>
  <si>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</si>
  <si>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</si>
  <si>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</si>
  <si>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</si>
  <si>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</si>
  <si>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</si>
  <si>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</si>
  <si>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</si>
  <si>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</si>
  <si>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</si>
  <si>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</si>
  <si>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</si>
  <si>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</si>
  <si>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</si>
  <si>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</si>
  <si>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</si>
  <si>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</si>
  <si>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</si>
  <si>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</si>
  <si>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</si>
  <si>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</si>
  <si>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</si>
  <si>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</si>
  <si>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</si>
  <si>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</si>
  <si>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</si>
  <si>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</si>
  <si>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</si>
  <si>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</si>
  <si>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</si>
  <si>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</si>
  <si>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</si>
  <si>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</si>
  <si>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</si>
  <si>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</si>
  <si>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</si>
  <si>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</si>
  <si>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</si>
  <si>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</si>
  <si>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</si>
  <si>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</si>
  <si>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</si>
  <si>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</si>
  <si>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</si>
  <si>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</si>
  <si>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</si>
  <si>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</si>
  <si>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</si>
  <si>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</si>
  <si>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</si>
  <si>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</si>
  <si>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</si>
  <si>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</si>
  <si>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</si>
  <si>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</si>
  <si>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</si>
  <si>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</si>
  <si>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</si>
  <si>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</si>
  <si>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</si>
  <si>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</si>
  <si>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</si>
  <si>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</si>
  <si>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</si>
  <si>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</si>
  <si>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</si>
  <si>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</si>
  <si>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</si>
  <si>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</si>
  <si>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</si>
  <si>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</si>
  <si>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</si>
  <si>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</si>
  <si>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</si>
  <si>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</si>
  <si>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</si>
  <si>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</si>
  <si>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</si>
  <si>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</si>
  <si>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</si>
  <si>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</si>
  <si>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</si>
  <si>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</si>
  <si>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</si>
  <si>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</si>
  <si>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</si>
  <si>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</si>
  <si>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</si>
  <si>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</si>
  <si>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</si>
  <si>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</si>
  <si>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</si>
  <si>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</si>
  <si>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</si>
  <si>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</si>
  <si>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</si>
  <si>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</si>
  <si>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</si>
  <si>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</si>
  <si>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</si>
  <si>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</si>
  <si>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</si>
  <si>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</si>
  <si>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</si>
  <si>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</si>
  <si>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</si>
  <si>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</si>
  <si>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</si>
  <si>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</si>
  <si>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</si>
  <si>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</si>
  <si>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</si>
  <si>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</si>
  <si>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</si>
  <si>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</si>
  <si>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</si>
  <si>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</si>
  <si>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</si>
  <si>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</si>
  <si>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</si>
  <si>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</si>
  <si>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</si>
  <si>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</si>
  <si>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</si>
  <si>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</si>
  <si>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</si>
  <si>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</si>
  <si>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</si>
  <si>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</si>
  <si>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</si>
  <si>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</si>
  <si>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</si>
  <si>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</si>
  <si>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</si>
  <si>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</si>
  <si>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</si>
  <si>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</si>
  <si>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</si>
  <si>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</si>
  <si>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</si>
  <si>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</si>
  <si>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</si>
  <si>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</si>
  <si>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</si>
  <si>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</si>
  <si>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</si>
  <si>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</si>
  <si>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</si>
  <si>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</si>
  <si>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</si>
  <si>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</si>
  <si>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</si>
  <si>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</si>
  <si>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</si>
  <si>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</si>
  <si>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</si>
  <si>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</si>
  <si>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</si>
  <si>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</si>
  <si>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</si>
  <si>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</si>
  <si>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</si>
  <si>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</si>
  <si>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</si>
  <si>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</si>
  <si>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</si>
  <si>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</si>
  <si>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</si>
  <si>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</si>
  <si>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</si>
  <si>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</si>
  <si>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</si>
  <si>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</si>
  <si>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</si>
  <si>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</si>
  <si>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</si>
  <si>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</si>
  <si>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</si>
  <si>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</si>
  <si>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</si>
  <si>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</si>
  <si>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</si>
  <si>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</si>
  <si>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</si>
  <si>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</si>
  <si>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</si>
  <si>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</si>
  <si>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</si>
  <si>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</si>
  <si>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</si>
  <si>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</si>
  <si>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</si>
  <si>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</si>
  <si>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</si>
  <si>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</si>
  <si>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</si>
  <si>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</si>
  <si>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</si>
  <si>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</si>
  <si>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</si>
  <si>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</si>
  <si>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</si>
  <si>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</si>
  <si>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</si>
  <si>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</si>
  <si>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</si>
  <si>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</si>
  <si>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</si>
  <si>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</si>
  <si>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</si>
  <si>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</si>
  <si>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</si>
  <si>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</si>
  <si>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</si>
  <si>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</si>
  <si>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</si>
  <si>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</si>
  <si>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</si>
  <si>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</si>
  <si>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</si>
  <si>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</si>
  <si>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</si>
  <si>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</si>
  <si>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</si>
  <si>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</si>
  <si>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</si>
  <si>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</si>
  <si>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</si>
  <si>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</si>
  <si>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</si>
  <si>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</si>
  <si>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</si>
  <si>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</si>
  <si>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</si>
  <si>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</si>
  <si>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</si>
  <si>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</si>
  <si>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</si>
  <si>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</si>
  <si>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</si>
  <si>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</si>
  <si>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</si>
  <si>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</si>
  <si>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</si>
  <si>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</si>
  <si>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</si>
  <si>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</si>
  <si>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</si>
  <si>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</si>
  <si>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</si>
  <si>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</si>
  <si>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</si>
  <si>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</si>
  <si>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</si>
  <si>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</si>
  <si>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</si>
  <si>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</si>
  <si>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</si>
  <si>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</si>
  <si>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</si>
  <si>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</si>
  <si>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</si>
  <si>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</si>
  <si>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</si>
  <si>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</si>
  <si>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</si>
  <si>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</si>
  <si>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</si>
  <si>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</si>
  <si>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</si>
  <si>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</si>
  <si>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</si>
  <si>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</si>
  <si>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</si>
  <si>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</si>
  <si>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</si>
  <si>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</si>
  <si>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</si>
  <si>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</si>
  <si>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</si>
  <si>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</si>
  <si>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</si>
  <si>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</si>
  <si>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</si>
  <si>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</si>
  <si>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</si>
  <si>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</si>
  <si>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</si>
  <si>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</si>
  <si>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</si>
  <si>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</si>
  <si>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</si>
  <si>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</si>
  <si>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</si>
  <si>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</si>
  <si>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</si>
  <si>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</si>
  <si>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</si>
  <si>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</si>
  <si>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</si>
  <si>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</si>
  <si>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</si>
  <si>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</si>
  <si>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</si>
  <si>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</si>
  <si>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</si>
  <si>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</si>
  <si>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</si>
  <si>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</si>
  <si>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</si>
  <si>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</si>
  <si>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</si>
  <si>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</si>
  <si>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</si>
  <si>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</si>
  <si>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</si>
  <si>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</si>
  <si>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</si>
  <si>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</si>
  <si>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</si>
  <si>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</si>
  <si>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</si>
  <si>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</si>
  <si>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</si>
  <si>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</si>
  <si>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</si>
  <si>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</si>
  <si>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</si>
  <si>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</si>
  <si>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</si>
  <si>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</si>
  <si>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</si>
  <si>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</si>
  <si>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</si>
  <si>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</si>
  <si>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</si>
  <si>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</si>
  <si>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</si>
  <si>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</si>
  <si>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</si>
  <si>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</si>
  <si>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</si>
  <si>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</si>
  <si>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</si>
  <si>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</si>
  <si>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</si>
  <si>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</si>
  <si>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</si>
  <si>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</si>
  <si>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</si>
  <si>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</si>
  <si>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</si>
  <si>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</si>
  <si>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</si>
  <si>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</si>
  <si>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</si>
  <si>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</si>
  <si>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</si>
  <si>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</si>
  <si>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</si>
  <si>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</si>
  <si>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</si>
  <si>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</si>
  <si>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</si>
  <si>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</si>
  <si>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</si>
  <si>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</si>
  <si>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</si>
  <si>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</si>
  <si>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</si>
  <si>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</si>
  <si>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</si>
  <si>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</si>
  <si>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</si>
  <si>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</si>
  <si>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</si>
  <si>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</si>
  <si>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</si>
  <si>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</si>
  <si>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</si>
  <si>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</si>
  <si>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</si>
  <si>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</si>
  <si>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</si>
  <si>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</si>
  <si>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</si>
  <si>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</si>
  <si>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</si>
  <si>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</si>
  <si>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</si>
  <si>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</si>
  <si>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</si>
  <si>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</si>
  <si>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</si>
  <si>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</si>
  <si>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</si>
  <si>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</si>
  <si>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</si>
  <si>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</si>
  <si>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</si>
  <si>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</si>
  <si>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</si>
  <si>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</si>
  <si>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</si>
  <si>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</si>
  <si>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</si>
  <si>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</si>
  <si>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</si>
  <si>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</si>
  <si>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</si>
  <si>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</si>
  <si>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</si>
  <si>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</si>
  <si>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</si>
  <si>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</si>
  <si>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</si>
  <si>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</si>
  <si>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</si>
  <si>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</si>
  <si>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</si>
  <si>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</si>
  <si>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</si>
  <si>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</si>
  <si>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</si>
  <si>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</si>
  <si>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</si>
  <si>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</si>
  <si>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</si>
  <si>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</si>
  <si>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</si>
  <si>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</si>
  <si>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</si>
  <si>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</si>
  <si>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</si>
  <si>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</si>
  <si>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</si>
  <si>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</si>
  <si>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</si>
  <si>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</si>
  <si>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</si>
  <si>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</si>
  <si>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</si>
  <si>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</si>
  <si>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</si>
  <si>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</si>
  <si>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</si>
  <si>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</si>
  <si>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</si>
  <si>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</si>
  <si>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</si>
  <si>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</si>
  <si>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</si>
  <si>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</si>
  <si>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</si>
  <si>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</si>
  <si>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</si>
  <si>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</si>
  <si>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</si>
  <si>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</si>
  <si>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</si>
  <si>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</si>
  <si>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</si>
  <si>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</si>
  <si>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</si>
  <si>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</si>
  <si>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</si>
  <si>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</si>
  <si>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</si>
  <si>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</si>
  <si>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</si>
  <si>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</si>
  <si>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</si>
  <si>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</si>
  <si>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</si>
  <si>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</si>
  <si>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</si>
  <si>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</si>
  <si>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</si>
  <si>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</si>
  <si>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</si>
  <si>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</si>
  <si>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</si>
  <si>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</si>
  <si>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</si>
  <si>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</si>
  <si>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</si>
  <si>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</si>
  <si>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</si>
  <si>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</si>
  <si>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</si>
  <si>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</si>
  <si>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</si>
  <si>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</si>
  <si>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</si>
  <si>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</si>
  <si>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</si>
  <si>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</si>
  <si>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</si>
  <si>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</si>
  <si>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</si>
  <si>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</si>
  <si>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</si>
  <si>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</si>
  <si>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</si>
  <si>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</si>
  <si>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</si>
  <si>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</si>
  <si>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</si>
  <si>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</si>
  <si>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</si>
  <si>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</si>
  <si>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</si>
  <si>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</si>
  <si>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</si>
  <si>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</si>
  <si>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</si>
  <si>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</si>
  <si>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</si>
  <si>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</si>
  <si>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</si>
  <si>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</si>
  <si>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</si>
  <si>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</si>
  <si>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</si>
  <si>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</si>
  <si>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</si>
  <si>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</si>
  <si>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</si>
  <si>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</si>
  <si>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</si>
  <si>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</si>
  <si>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</si>
  <si>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</si>
  <si>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</si>
  <si>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</si>
  <si>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</si>
  <si>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</si>
  <si>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</si>
  <si>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</si>
  <si>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</si>
  <si>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</si>
  <si>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</si>
  <si>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</si>
  <si>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</si>
  <si>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</si>
  <si>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</si>
  <si>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</si>
  <si>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</si>
  <si>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</si>
  <si>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</si>
  <si>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</si>
  <si>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</si>
  <si>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</si>
  <si>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</si>
  <si>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</si>
  <si>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</si>
  <si>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</si>
  <si>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</si>
  <si>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</si>
  <si>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</si>
  <si>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</si>
  <si>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</si>
  <si>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</si>
  <si>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</si>
  <si>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</si>
  <si>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</si>
  <si>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</si>
  <si>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</si>
  <si>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</si>
  <si>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</si>
  <si>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</si>
  <si>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</si>
  <si>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</si>
  <si>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</si>
  <si>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</si>
  <si>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</si>
  <si>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</si>
  <si>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</si>
  <si>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</si>
  <si>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</si>
  <si>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</si>
  <si>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</si>
  <si>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</si>
  <si>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</si>
  <si>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</si>
  <si>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</si>
  <si>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</si>
  <si>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</si>
  <si>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</si>
  <si>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</si>
  <si>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</si>
  <si>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</si>
  <si>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</si>
  <si>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</si>
  <si>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</si>
  <si>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</si>
  <si>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</si>
  <si>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</si>
  <si>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</si>
  <si>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</si>
  <si>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</si>
  <si>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</si>
  <si>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</si>
  <si>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</si>
  <si>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</si>
  <si>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</si>
  <si>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</si>
  <si>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</si>
  <si>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</si>
  <si>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</si>
  <si>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</si>
  <si>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</si>
  <si>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</si>
  <si>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</si>
  <si>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</si>
  <si>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</si>
  <si>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</si>
  <si>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</si>
  <si>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</si>
  <si>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</si>
  <si>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</si>
  <si>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</si>
  <si>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</si>
  <si>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</si>
  <si>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</si>
  <si>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</si>
  <si>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</si>
  <si>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</si>
  <si>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</si>
  <si>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</si>
  <si>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</si>
  <si>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</si>
  <si>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</si>
  <si>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</si>
  <si>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</si>
  <si>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</si>
  <si>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</si>
  <si>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</si>
  <si>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</si>
  <si>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</si>
  <si>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</si>
  <si>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</si>
  <si>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</si>
  <si>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</si>
  <si>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</si>
  <si>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</si>
  <si>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</si>
  <si>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</si>
  <si>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</si>
  <si>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</si>
  <si>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</si>
  <si>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</si>
  <si>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</si>
  <si>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</si>
  <si>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</si>
  <si>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</si>
  <si>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</si>
  <si>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</si>
  <si>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</si>
  <si>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</si>
  <si>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</si>
  <si>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</si>
  <si>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</si>
  <si>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</si>
  <si>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</si>
  <si>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</si>
  <si>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</si>
  <si>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</si>
  <si>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</si>
  <si>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</si>
  <si>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</si>
  <si>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</si>
  <si>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</si>
  <si>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</si>
  <si>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</si>
  <si>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</si>
  <si>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</si>
  <si>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</si>
  <si>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</si>
  <si>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</si>
  <si>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</si>
  <si>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</si>
  <si>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</si>
  <si>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</si>
  <si>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</si>
  <si>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</si>
  <si>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</si>
  <si>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</si>
  <si>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</si>
  <si>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</si>
  <si>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</si>
  <si>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</si>
  <si>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</si>
  <si>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</si>
  <si>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</si>
  <si>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</si>
  <si>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</si>
  <si>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</si>
  <si>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</si>
  <si>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</si>
  <si>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</si>
  <si>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</si>
  <si>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</si>
  <si>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</si>
  <si>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</si>
  <si>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</si>
  <si>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</si>
  <si>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</si>
  <si>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</si>
  <si>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</si>
  <si>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</si>
  <si>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</si>
  <si>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</si>
  <si>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</si>
  <si>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</si>
  <si>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</si>
  <si>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</si>
  <si>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</si>
  <si>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</si>
  <si>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</si>
  <si>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</si>
  <si>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</si>
  <si>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</si>
  <si>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</si>
  <si>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</si>
  <si>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</si>
  <si>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</si>
  <si>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</si>
  <si>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</si>
  <si>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</si>
  <si>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</si>
  <si>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</si>
  <si>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</si>
  <si>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</si>
  <si>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</si>
  <si>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</si>
  <si>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</si>
  <si>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</si>
  <si>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</si>
  <si>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</si>
  <si>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</si>
  <si>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</si>
  <si>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</si>
  <si>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</si>
  <si>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</si>
  <si>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</si>
  <si>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</si>
  <si>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</si>
  <si>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</si>
  <si>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</si>
  <si>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</si>
  <si>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</si>
  <si>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</si>
  <si>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</si>
  <si>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</si>
  <si>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</si>
  <si>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</si>
  <si>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</si>
  <si>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</si>
  <si>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</si>
  <si>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</si>
  <si>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</si>
  <si>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</si>
  <si>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</si>
  <si>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</si>
  <si>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</si>
  <si>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</si>
  <si>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</si>
  <si>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</si>
  <si>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</si>
  <si>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</si>
  <si>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</si>
  <si>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</si>
  <si>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</si>
  <si>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</si>
  <si>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</si>
  <si>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</si>
  <si>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</si>
  <si>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</si>
  <si>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</si>
  <si>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</si>
  <si>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</si>
  <si>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</si>
  <si>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</si>
  <si>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</si>
  <si>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</si>
  <si>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</si>
  <si>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</si>
  <si>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</si>
  <si>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</si>
  <si>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</si>
  <si>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</si>
  <si>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</si>
  <si>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</si>
  <si>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</si>
  <si>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</si>
  <si>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</si>
  <si>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</si>
  <si>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</si>
  <si>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</si>
  <si>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</si>
  <si>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</si>
  <si>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</si>
  <si>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</si>
  <si>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</si>
  <si>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</si>
  <si>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</si>
  <si>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</si>
  <si>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</si>
  <si>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</si>
  <si>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</si>
  <si>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</si>
  <si>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</si>
  <si>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</si>
  <si>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</si>
  <si>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</si>
  <si>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</si>
  <si>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</si>
  <si>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</si>
  <si>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</si>
  <si>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</si>
  <si>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</si>
  <si>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</si>
  <si>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</si>
  <si>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</si>
  <si>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</si>
  <si>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</si>
  <si>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</si>
  <si>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</si>
  <si>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</si>
  <si>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</si>
  <si>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</si>
  <si>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</si>
  <si>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</si>
  <si>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</si>
  <si>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</si>
  <si>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</si>
  <si>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</si>
  <si>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</si>
  <si>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</si>
  <si>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</si>
  <si>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</si>
  <si>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</si>
  <si>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</si>
  <si>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</si>
  <si>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</si>
  <si>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</si>
  <si>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</si>
  <si>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</si>
  <si>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</si>
  <si>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</si>
  <si>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</si>
  <si>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</si>
  <si>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</si>
  <si>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</si>
  <si>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</si>
  <si>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</si>
  <si>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</si>
  <si>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</si>
  <si>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</si>
  <si>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</si>
  <si>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</si>
  <si>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</si>
  <si>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</si>
  <si>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</si>
  <si>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</si>
  <si>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</si>
  <si>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</si>
  <si>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</si>
  <si>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</si>
  <si>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</si>
  <si>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</si>
  <si>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</si>
  <si>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</si>
  <si>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</si>
  <si>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</si>
  <si>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</si>
  <si>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</si>
  <si>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</si>
  <si>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</si>
  <si>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</si>
  <si>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</si>
  <si>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</si>
  <si>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</si>
  <si>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</si>
  <si>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</si>
  <si>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</si>
  <si>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</si>
  <si>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</si>
  <si>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</si>
  <si>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</si>
  <si>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</si>
  <si>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</si>
  <si>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</si>
  <si>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</si>
  <si>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</si>
  <si>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</si>
  <si>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</si>
  <si>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</si>
  <si>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</si>
  <si>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</si>
  <si>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</si>
  <si>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</si>
  <si>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</si>
  <si>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</si>
  <si>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</si>
  <si>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</si>
  <si>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</si>
  <si>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</si>
  <si>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</si>
  <si>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</si>
  <si>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</si>
  <si>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</si>
  <si>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</si>
  <si>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</si>
  <si>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</si>
  <si>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</si>
  <si>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</si>
  <si>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</si>
  <si>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</si>
  <si>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</si>
  <si>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</si>
  <si>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</si>
  <si>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</si>
  <si>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</si>
  <si>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</si>
  <si>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</si>
  <si>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</si>
  <si>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</si>
  <si>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</si>
  <si>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</si>
  <si>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</si>
  <si>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</si>
  <si>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</si>
  <si>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</si>
  <si>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</si>
  <si>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</si>
  <si>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</si>
  <si>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</si>
  <si>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</si>
  <si>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</si>
  <si>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</si>
  <si>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</si>
  <si>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</si>
  <si>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</si>
  <si>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</si>
  <si>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</si>
  <si>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</si>
  <si>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</si>
  <si>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</si>
  <si>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</si>
  <si>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</si>
  <si>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</si>
  <si>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</si>
  <si>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</si>
  <si>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</si>
  <si>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</si>
  <si>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</si>
  <si>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</si>
  <si>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</si>
  <si>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</si>
  <si>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</si>
  <si>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</si>
  <si>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</si>
  <si>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</si>
  <si>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</si>
  <si>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</si>
  <si>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</si>
  <si>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</si>
  <si>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</si>
  <si>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</si>
  <si>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</si>
  <si>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</si>
  <si>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</si>
  <si>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</si>
  <si>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</si>
  <si>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</si>
  <si>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</si>
  <si>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</si>
  <si>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</si>
  <si>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</si>
  <si>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</si>
  <si>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</si>
  <si>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</si>
  <si>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</si>
  <si>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</si>
  <si>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</si>
  <si>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</si>
  <si>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</si>
  <si>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</si>
  <si>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</si>
  <si>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</si>
  <si>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</si>
  <si>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</si>
  <si>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</si>
  <si>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</si>
  <si>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</si>
  <si>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</si>
  <si>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</si>
  <si>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</si>
  <si>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</si>
  <si>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</si>
  <si>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</si>
  <si>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</si>
  <si>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</si>
  <si>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</si>
  <si>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</si>
  <si>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</si>
  <si>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</si>
  <si>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</si>
  <si>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</si>
  <si>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</si>
  <si>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</si>
  <si>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</si>
  <si>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</si>
  <si>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</si>
  <si>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</si>
  <si>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</si>
  <si>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</si>
  <si>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</si>
  <si>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</si>
  <si>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</si>
  <si>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</si>
  <si>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</si>
  <si>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</si>
  <si>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</si>
  <si>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</si>
  <si>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</si>
  <si>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</si>
  <si>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</si>
  <si>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</si>
  <si>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</si>
  <si>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</si>
  <si>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</si>
  <si>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</si>
  <si>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</si>
  <si>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</si>
  <si>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</si>
  <si>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</si>
  <si>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</si>
  <si>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</si>
  <si>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</si>
  <si>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</si>
  <si>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</si>
  <si>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</si>
  <si>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</si>
  <si>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</si>
  <si>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</si>
  <si>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</si>
  <si>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</si>
  <si>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</si>
  <si>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</si>
  <si>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</si>
  <si>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</si>
  <si>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</si>
  <si>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</si>
  <si>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</si>
  <si>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</si>
  <si>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</si>
  <si>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</si>
  <si>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</si>
  <si>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</si>
  <si>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</si>
  <si>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</si>
  <si>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</si>
  <si>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</si>
  <si>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</si>
  <si>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</si>
  <si>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</si>
  <si>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</si>
  <si>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</si>
  <si>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</si>
  <si>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</si>
  <si>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</si>
  <si>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</si>
  <si>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</si>
  <si>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</si>
  <si>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</si>
  <si>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</si>
  <si>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</si>
  <si>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</si>
  <si>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</si>
  <si>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</si>
  <si>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</si>
  <si>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</si>
  <si>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</si>
  <si>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</si>
  <si>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</si>
  <si>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</si>
  <si>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</si>
  <si>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</si>
  <si>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</si>
  <si>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</si>
  <si>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</si>
  <si>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</si>
  <si>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</si>
  <si>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</si>
  <si>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</si>
  <si>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</si>
  <si>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</si>
  <si>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</si>
  <si>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</si>
  <si>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</si>
  <si>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</si>
  <si>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</si>
  <si>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</si>
  <si>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</si>
  <si>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</si>
  <si>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</si>
  <si>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</si>
  <si>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</si>
  <si>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</si>
  <si>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</si>
  <si>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</si>
  <si>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</si>
  <si>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</si>
  <si>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</si>
  <si>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</si>
  <si>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</si>
  <si>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</si>
  <si>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</si>
  <si>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</si>
  <si>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</si>
  <si>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</si>
  <si>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</si>
  <si>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</si>
  <si>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</si>
  <si>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</si>
  <si>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</si>
  <si>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</si>
  <si>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</si>
  <si>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</si>
  <si>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</si>
  <si>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</si>
  <si>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</si>
  <si>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</si>
  <si>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</si>
  <si>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</si>
  <si>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</si>
  <si>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</si>
  <si>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</si>
  <si>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</si>
  <si>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</si>
  <si>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</si>
  <si>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</si>
  <si>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</si>
  <si>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</si>
  <si>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</si>
  <si>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</si>
  <si>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</si>
  <si>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</si>
  <si>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</si>
  <si>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</si>
  <si>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</si>
  <si>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</si>
  <si>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</si>
  <si>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</si>
  <si>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</si>
  <si>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</si>
  <si>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</si>
  <si>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</si>
  <si>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</si>
  <si>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</si>
  <si>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</si>
  <si>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</si>
  <si>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</si>
  <si>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</si>
  <si>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</si>
  <si>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</si>
  <si>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</si>
  <si>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</si>
  <si>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</si>
  <si>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</si>
  <si>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</si>
  <si>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</si>
  <si>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</si>
  <si>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</si>
  <si>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</si>
  <si>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</si>
  <si>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</si>
  <si>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</si>
  <si>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</si>
  <si>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</si>
  <si>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</si>
  <si>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</si>
  <si>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</si>
  <si>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</si>
  <si>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</si>
  <si>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</si>
  <si>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</si>
  <si>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</si>
  <si>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</si>
  <si>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</si>
  <si>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</si>
  <si>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</si>
  <si>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</si>
  <si>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</si>
  <si>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</si>
  <si>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</si>
  <si>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</si>
  <si>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</si>
  <si>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</si>
  <si>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</si>
  <si>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</si>
  <si>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</si>
  <si>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</si>
  <si>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</si>
  <si>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</si>
  <si>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</si>
  <si>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</si>
  <si>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</si>
  <si>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</si>
  <si>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</si>
  <si>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</si>
  <si>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</si>
  <si>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</si>
  <si>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</si>
  <si>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</si>
  <si>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</si>
  <si>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</si>
  <si>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</si>
  <si>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</si>
  <si>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</si>
  <si>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</si>
  <si>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</si>
  <si>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</si>
  <si>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</si>
  <si>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</si>
  <si>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</si>
  <si>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</si>
  <si>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</si>
  <si>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</si>
  <si>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</si>
  <si>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</si>
  <si>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</si>
  <si>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</si>
  <si>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</si>
  <si>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</si>
  <si>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</si>
  <si>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</si>
  <si>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</si>
  <si>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</si>
  <si>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</si>
  <si>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</si>
  <si>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</si>
  <si>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</si>
  <si>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</si>
  <si>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</si>
  <si>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</si>
  <si>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</si>
  <si>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</si>
  <si>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</si>
  <si>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</si>
  <si>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</si>
  <si>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</si>
  <si>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</si>
  <si>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</si>
  <si>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</si>
  <si>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</si>
  <si>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</si>
  <si>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</si>
  <si>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</si>
  <si>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</si>
  <si>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</si>
  <si>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</si>
  <si>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</si>
  <si>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</si>
  <si>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</si>
  <si>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</si>
  <si>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</si>
  <si>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</si>
  <si>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</si>
  <si>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</si>
  <si>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</si>
  <si>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</si>
  <si>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</si>
  <si>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</si>
  <si>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</si>
  <si>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</si>
  <si>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</si>
  <si>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</si>
  <si>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</si>
  <si>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</si>
  <si>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</si>
  <si>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</si>
  <si>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</si>
  <si>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</si>
  <si>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</si>
  <si>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</si>
  <si>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</si>
  <si>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</si>
  <si>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</si>
  <si>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</si>
  <si>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</si>
  <si>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</si>
  <si>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</si>
  <si>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</si>
  <si>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</si>
  <si>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</si>
  <si>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</si>
  <si>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</si>
  <si>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</si>
  <si>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</si>
  <si>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</si>
  <si>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</si>
  <si>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</si>
  <si>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</si>
  <si>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</si>
  <si>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</si>
  <si>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</si>
  <si>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</si>
  <si>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</si>
  <si>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</si>
  <si>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</si>
  <si>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</si>
  <si>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</si>
  <si>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</si>
  <si>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</si>
  <si>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</si>
  <si>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</si>
  <si>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</si>
  <si>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</si>
  <si>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</si>
  <si>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</si>
  <si>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</si>
  <si>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</si>
  <si>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</si>
  <si>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</si>
  <si>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</si>
  <si>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</si>
  <si>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</si>
  <si>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</si>
  <si>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</si>
  <si>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</si>
  <si>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</si>
  <si>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</si>
  <si>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</si>
  <si>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</si>
  <si>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</si>
  <si>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</si>
  <si>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</si>
  <si>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</si>
  <si>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</si>
  <si>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</si>
  <si>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</si>
  <si>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</si>
  <si>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</si>
  <si>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</si>
  <si>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</si>
  <si>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</si>
  <si>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</si>
  <si>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</si>
  <si>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</si>
  <si>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</si>
  <si>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</si>
  <si>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</si>
  <si>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</si>
  <si>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</si>
  <si>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</si>
  <si>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</si>
  <si>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</si>
  <si>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</si>
  <si>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</si>
  <si>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</si>
  <si>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</si>
  <si>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</si>
  <si>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</si>
  <si>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</si>
  <si>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</si>
  <si>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</si>
  <si>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</si>
  <si>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</si>
  <si>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</si>
  <si>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</si>
  <si>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</si>
  <si>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</si>
  <si>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</si>
  <si>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</si>
  <si>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</si>
  <si>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</si>
  <si>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</si>
  <si>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</si>
  <si>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</si>
  <si>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</si>
  <si>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</si>
  <si>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</si>
  <si>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</si>
  <si>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</si>
  <si>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</si>
  <si>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</si>
  <si>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</si>
  <si>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</si>
  <si>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</si>
  <si>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</si>
  <si>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</si>
  <si>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</si>
  <si>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</si>
  <si>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</si>
  <si>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</si>
  <si>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</si>
  <si>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</si>
  <si>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</si>
  <si>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</si>
  <si>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</si>
  <si>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</si>
  <si>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</si>
  <si>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</si>
  <si>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</si>
  <si>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</si>
  <si>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</si>
  <si>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</si>
  <si>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</si>
  <si>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</si>
  <si>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</si>
  <si>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</si>
  <si>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</si>
  <si>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</si>
  <si>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</si>
  <si>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</si>
  <si>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</si>
  <si>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</si>
  <si>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</si>
  <si>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</si>
  <si>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</si>
  <si>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</si>
  <si>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</si>
  <si>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</si>
  <si>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</si>
  <si>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</si>
  <si>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</si>
  <si>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</si>
  <si>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</si>
  <si>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</si>
  <si>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</si>
  <si>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</si>
  <si>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</si>
  <si>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</si>
  <si>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</si>
  <si>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</si>
  <si>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</si>
  <si>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</si>
  <si>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</si>
  <si>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</si>
  <si>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</si>
  <si>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</si>
  <si>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</si>
  <si>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</si>
  <si>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</si>
  <si>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</si>
  <si>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</si>
  <si>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</si>
  <si>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</si>
  <si>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</si>
  <si>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</si>
  <si>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</si>
  <si>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</si>
  <si>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</si>
  <si>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</si>
  <si>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</si>
  <si>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</si>
  <si>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</si>
  <si>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</si>
  <si>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</si>
  <si>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</si>
  <si>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</si>
  <si>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</si>
  <si>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</si>
  <si>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</si>
  <si>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</si>
  <si>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</si>
  <si>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</si>
  <si>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</si>
  <si>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</si>
  <si>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</si>
  <si>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</si>
  <si>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</si>
  <si>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</si>
  <si>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</si>
  <si>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</si>
  <si>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</si>
  <si>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</si>
  <si>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</si>
  <si>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</si>
  <si>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</si>
  <si>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</si>
  <si>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</si>
  <si>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</si>
  <si>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</si>
  <si>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</si>
  <si>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</si>
  <si>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</si>
  <si>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</si>
  <si>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</si>
  <si>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</si>
  <si>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</si>
  <si>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</si>
  <si>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</si>
  <si>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</si>
  <si>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</si>
  <si>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</si>
  <si>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</si>
  <si>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</si>
  <si>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</si>
  <si>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</si>
  <si>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</si>
  <si>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</si>
  <si>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</si>
  <si>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</si>
  <si>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</si>
  <si>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</si>
  <si>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</si>
  <si>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</si>
  <si>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</si>
  <si>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</si>
  <si>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</si>
  <si>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</si>
  <si>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</si>
  <si>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</si>
  <si>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</si>
  <si>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</si>
  <si>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</si>
  <si>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</si>
  <si>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</si>
  <si>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</si>
  <si>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</si>
  <si>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</si>
  <si>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</si>
  <si>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</si>
  <si>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</si>
  <si>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</si>
  <si>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</si>
  <si>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</si>
  <si>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</si>
  <si>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</si>
  <si>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</si>
  <si>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</si>
  <si>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</si>
  <si>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</si>
  <si>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</si>
  <si>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</si>
  <si>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</si>
  <si>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</si>
  <si>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</si>
  <si>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</si>
  <si>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</si>
  <si>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</si>
  <si>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</si>
  <si>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</si>
  <si>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</si>
  <si>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</si>
  <si>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</si>
  <si>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</si>
  <si>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</si>
  <si>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</si>
  <si>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</si>
  <si>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</si>
  <si>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</si>
  <si>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</si>
  <si>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</si>
  <si>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</si>
  <si>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</si>
  <si>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</si>
  <si>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</si>
  <si>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</si>
  <si>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</si>
  <si>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</si>
  <si>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</si>
  <si>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</si>
  <si>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</si>
  <si>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</si>
  <si>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</si>
  <si>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</si>
  <si>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</si>
  <si>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</si>
  <si>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</si>
  <si>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</si>
  <si>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</si>
  <si>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</si>
  <si>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</si>
  <si>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</si>
  <si>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</si>
  <si>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</si>
  <si>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</si>
  <si>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</si>
  <si>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</si>
  <si>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</si>
  <si>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</si>
  <si>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</si>
  <si>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</si>
  <si>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</si>
  <si>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</si>
  <si>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</si>
  <si>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</si>
  <si>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</si>
  <si>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</si>
  <si>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</si>
  <si>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</si>
  <si>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</si>
  <si>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</si>
  <si>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</si>
  <si>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</si>
  <si>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</si>
  <si>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</si>
  <si>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</si>
  <si>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</si>
  <si>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</si>
  <si>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</si>
  <si>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</si>
  <si>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</si>
  <si>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</si>
  <si>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</si>
  <si>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</si>
  <si>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</si>
  <si>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</si>
  <si>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</si>
  <si>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</si>
  <si>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</si>
  <si>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</si>
  <si>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</si>
  <si>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</si>
  <si>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</si>
  <si>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</si>
  <si>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</si>
  <si>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</si>
  <si>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</si>
  <si>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</si>
  <si>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</si>
  <si>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</si>
  <si>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</si>
  <si>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</si>
  <si>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</si>
  <si>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</si>
  <si>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</si>
  <si>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</si>
  <si>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</si>
  <si>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</si>
  <si>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</si>
  <si>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</si>
  <si>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</si>
  <si>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</si>
  <si>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</si>
  <si>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</si>
  <si>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</si>
  <si>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</si>
  <si>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</si>
  <si>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</si>
  <si>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</si>
  <si>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</si>
  <si>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</si>
  <si>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</si>
  <si>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</si>
  <si>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</si>
  <si>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</si>
  <si>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</si>
  <si>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</si>
  <si>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</si>
  <si>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</si>
  <si>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</si>
  <si>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</si>
  <si>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</si>
  <si>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</si>
  <si>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</si>
  <si>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</si>
  <si>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</si>
  <si>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</si>
  <si>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</si>
  <si>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</si>
  <si>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</si>
  <si>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</si>
  <si>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</si>
  <si>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</si>
  <si>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</si>
  <si>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</si>
  <si>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</si>
  <si>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</si>
  <si>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</si>
  <si>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</si>
  <si>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</si>
  <si>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</si>
  <si>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</si>
  <si>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</si>
  <si>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</si>
  <si>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</si>
  <si>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</si>
  <si>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</si>
  <si>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</si>
  <si>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</si>
  <si>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</si>
  <si>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</si>
  <si>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</si>
  <si>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</si>
  <si>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</si>
  <si>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</si>
  <si>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</si>
  <si>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</si>
  <si>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</si>
  <si>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</si>
  <si>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</si>
  <si>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</si>
  <si>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</si>
  <si>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</si>
  <si>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</si>
  <si>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</si>
  <si>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</si>
  <si>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</si>
  <si>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</si>
  <si>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</si>
  <si>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</si>
  <si>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</si>
  <si>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</si>
  <si>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</si>
  <si>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</si>
  <si>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</si>
  <si>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</si>
  <si>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</si>
  <si>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</si>
  <si>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</si>
  <si>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</si>
  <si>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</si>
  <si>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</si>
  <si>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</si>
  <si>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</si>
  <si>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</si>
  <si>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</si>
  <si>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</si>
  <si>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</si>
  <si>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</si>
  <si>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</si>
  <si>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</si>
  <si>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</si>
  <si>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</si>
  <si>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</si>
  <si>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</si>
  <si>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</si>
  <si>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</si>
  <si>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</si>
  <si>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</si>
  <si>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</si>
  <si>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</si>
  <si>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</si>
  <si>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</si>
  <si>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</si>
  <si>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</si>
  <si>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</si>
  <si>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</si>
  <si>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</si>
  <si>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</si>
  <si>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</si>
  <si>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</si>
  <si>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</si>
  <si>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</si>
  <si>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</si>
  <si>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</si>
  <si>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</si>
  <si>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</si>
  <si>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</si>
  <si>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</si>
  <si>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</si>
  <si>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</si>
  <si>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</si>
  <si>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</si>
  <si>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</si>
  <si>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</si>
  <si>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</si>
  <si>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</si>
  <si>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</si>
  <si>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</si>
  <si>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</si>
  <si>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</si>
  <si>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</si>
  <si>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</si>
  <si>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</si>
  <si>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</si>
  <si>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</si>
  <si>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</si>
  <si>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</si>
  <si>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</si>
  <si>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</si>
  <si>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</si>
  <si>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</si>
  <si>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</si>
  <si>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</si>
  <si>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</si>
  <si>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</si>
  <si>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</si>
  <si>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</si>
  <si>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</si>
  <si>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</si>
  <si>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</si>
  <si>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</si>
  <si>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</si>
  <si>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</si>
  <si>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</si>
  <si>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</si>
  <si>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</si>
  <si>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</si>
  <si>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</si>
  <si>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</si>
  <si>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</si>
  <si>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</si>
  <si>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</si>
  <si>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</si>
  <si>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</si>
  <si>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</si>
  <si>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</si>
  <si>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</si>
  <si>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</si>
  <si>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</si>
  <si>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</si>
  <si>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</si>
  <si>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</si>
  <si>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</si>
  <si>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</si>
  <si>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</si>
  <si>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</si>
  <si>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</si>
  <si>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</si>
  <si>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</si>
  <si>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</si>
  <si>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</si>
  <si>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</si>
  <si>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</si>
  <si>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</si>
  <si>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</si>
  <si>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</si>
  <si>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</si>
  <si>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</si>
  <si>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</si>
  <si>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</si>
  <si>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</si>
  <si>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</si>
  <si>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</si>
  <si>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</si>
  <si>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</si>
  <si>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</si>
  <si>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</si>
  <si>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</si>
  <si>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</si>
  <si>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</si>
  <si>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</si>
  <si>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</si>
  <si>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</si>
  <si>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</si>
  <si>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</si>
  <si>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</si>
  <si>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</si>
  <si>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</si>
  <si>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</si>
  <si>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</si>
  <si>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</si>
  <si>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</si>
  <si>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</si>
  <si>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</si>
  <si>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</si>
  <si>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</si>
  <si>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</si>
  <si>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</si>
  <si>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</si>
  <si>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</si>
  <si>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</si>
  <si>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</si>
  <si>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</si>
  <si>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</si>
  <si>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</si>
  <si>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</si>
  <si>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</si>
  <si>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</si>
  <si>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</si>
  <si>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</si>
  <si>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</si>
  <si>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</si>
  <si>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</si>
  <si>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</si>
  <si>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</si>
  <si>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</si>
  <si>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</si>
  <si>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</si>
  <si>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</si>
  <si>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</si>
  <si>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</si>
  <si>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</si>
  <si>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</si>
  <si>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</si>
  <si>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</si>
  <si>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</si>
  <si>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</si>
  <si>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</si>
  <si>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</si>
  <si>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</si>
  <si>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</si>
  <si>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</si>
  <si>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</si>
  <si>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</si>
  <si>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</si>
  <si>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</si>
  <si>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</si>
  <si>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</si>
  <si>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</si>
  <si>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</si>
  <si>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</si>
  <si>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</si>
  <si>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</si>
  <si>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</si>
  <si>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</si>
  <si>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</si>
  <si>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</si>
  <si>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</si>
  <si>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</si>
  <si>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</si>
  <si>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</si>
  <si>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</si>
  <si>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</si>
  <si>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</si>
  <si>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</si>
  <si>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</si>
  <si>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</si>
  <si>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</si>
  <si>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</si>
  <si>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</si>
  <si>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</si>
  <si>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</si>
  <si>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</si>
  <si>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</si>
  <si>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</si>
  <si>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</si>
  <si>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</si>
  <si>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</si>
  <si>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</si>
  <si>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</si>
  <si>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</si>
  <si>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</si>
  <si>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</si>
  <si>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</si>
  <si>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</si>
  <si>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</si>
  <si>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</si>
  <si>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</si>
  <si>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</si>
  <si>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</si>
  <si>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</si>
  <si>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</si>
  <si>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</si>
  <si>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</si>
  <si>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</si>
  <si>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</si>
  <si>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</si>
  <si>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</si>
  <si>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</si>
  <si>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</si>
  <si>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</si>
  <si>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</si>
  <si>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</si>
  <si>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</si>
  <si>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</si>
  <si>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</si>
  <si>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</si>
  <si>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</si>
  <si>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</si>
  <si>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</si>
  <si>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</si>
  <si>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</si>
  <si>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</si>
  <si>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</si>
  <si>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</si>
  <si>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</si>
  <si>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</si>
  <si>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</si>
  <si>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</si>
  <si>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</si>
  <si>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</si>
  <si>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</si>
  <si>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</si>
  <si>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</si>
  <si>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</si>
  <si>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</si>
  <si>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</si>
  <si>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</si>
  <si>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</si>
  <si>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</si>
  <si>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</si>
  <si>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</si>
  <si>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</si>
  <si>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</si>
  <si>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</si>
  <si>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</si>
  <si>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</si>
  <si>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</si>
  <si>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</si>
  <si>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</si>
  <si>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</si>
  <si>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</si>
  <si>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</si>
  <si>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</si>
  <si>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</si>
  <si>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</si>
  <si>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</si>
  <si>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</si>
  <si>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</si>
  <si>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</si>
  <si>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</si>
  <si>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</si>
  <si>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</si>
  <si>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</si>
  <si>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</si>
  <si>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</si>
  <si>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</si>
  <si>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</si>
  <si>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</si>
  <si>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</si>
  <si>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</si>
  <si>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</si>
  <si>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</si>
  <si>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</si>
  <si>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</si>
  <si>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</si>
  <si>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</si>
  <si>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</si>
  <si>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</si>
  <si>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</si>
  <si>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</si>
  <si>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</si>
  <si>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</si>
  <si>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</si>
  <si>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</si>
  <si>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</si>
  <si>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</si>
  <si>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</si>
  <si>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</si>
  <si>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</si>
  <si>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</si>
  <si>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</si>
  <si>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</si>
  <si>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</si>
  <si>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</si>
  <si>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</si>
  <si>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</si>
  <si>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</si>
  <si>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</si>
  <si>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</si>
  <si>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</si>
  <si>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</si>
  <si>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</si>
  <si>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</si>
  <si>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</si>
  <si>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</si>
  <si>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</si>
  <si>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</si>
  <si>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</si>
  <si>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</si>
  <si>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</si>
  <si>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</si>
  <si>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</si>
  <si>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</si>
  <si>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</si>
  <si>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</si>
  <si>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</si>
  <si>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</si>
  <si>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</si>
  <si>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</si>
  <si>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</si>
  <si>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</si>
  <si>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</si>
  <si>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</si>
  <si>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</si>
  <si>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</si>
  <si>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</si>
  <si>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</si>
  <si>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</si>
  <si>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</si>
  <si>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</si>
  <si>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</si>
  <si>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</si>
  <si>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</si>
  <si>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</si>
  <si>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</si>
  <si>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</si>
  <si>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</si>
  <si>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</si>
  <si>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</si>
  <si>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</si>
  <si>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</si>
  <si>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</si>
  <si>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</si>
  <si>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</si>
  <si>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</si>
  <si>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</si>
  <si>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</si>
  <si>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</si>
  <si>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</si>
  <si>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</si>
  <si>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</si>
  <si>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</si>
  <si>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</si>
  <si>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</si>
  <si>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</si>
  <si>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</si>
  <si>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</si>
  <si>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</si>
  <si>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</si>
  <si>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</si>
  <si>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</si>
  <si>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</si>
  <si>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</si>
  <si>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</si>
  <si>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</si>
  <si>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</si>
  <si>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</si>
  <si>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</si>
  <si>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</si>
  <si>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</si>
  <si>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</si>
  <si>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</si>
  <si>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</si>
  <si>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</si>
  <si>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</si>
  <si>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</si>
  <si>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</si>
  <si>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</si>
  <si>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</si>
  <si>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</si>
  <si>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</si>
  <si>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</si>
  <si>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</si>
  <si>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</si>
  <si>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</si>
  <si>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</si>
  <si>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</si>
  <si>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</si>
  <si>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</si>
  <si>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</si>
  <si>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</si>
  <si>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</si>
  <si>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</si>
  <si>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</si>
  <si>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</si>
  <si>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</si>
  <si>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</si>
  <si>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</si>
  <si>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</si>
  <si>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</si>
  <si>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</si>
  <si>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</si>
  <si>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</si>
  <si>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</si>
  <si>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</si>
  <si>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</si>
  <si>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</si>
  <si>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</si>
  <si>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</si>
  <si>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</si>
  <si>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</si>
  <si>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</si>
  <si>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</si>
  <si>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</si>
  <si>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</si>
  <si>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</si>
  <si>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</si>
  <si>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</si>
  <si>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</si>
  <si>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</si>
  <si>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</si>
  <si>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</si>
  <si>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</si>
  <si>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</si>
  <si>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</si>
  <si>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</si>
  <si>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</si>
  <si>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</si>
  <si>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</si>
  <si>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</si>
  <si>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</si>
  <si>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</si>
  <si>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</si>
  <si>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</si>
  <si>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</si>
  <si>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</si>
  <si>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</si>
  <si>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</si>
  <si>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</si>
  <si>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</si>
  <si>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</si>
  <si>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</si>
  <si>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</si>
  <si>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</si>
  <si>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</si>
  <si>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</si>
  <si>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</si>
  <si>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</si>
  <si>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</si>
  <si>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</si>
  <si>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</si>
  <si>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</si>
  <si>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</si>
  <si>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</si>
  <si>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</si>
  <si>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</si>
  <si>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</si>
  <si>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</si>
  <si>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</si>
  <si>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</si>
  <si>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</si>
  <si>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</si>
  <si>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</si>
  <si>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</si>
  <si>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</si>
  <si>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</si>
  <si>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</si>
  <si>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</si>
  <si>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</si>
  <si>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</si>
  <si>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</si>
  <si>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</si>
  <si>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</si>
  <si>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</si>
  <si>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</si>
  <si>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</si>
  <si>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</si>
  <si>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</si>
  <si>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</si>
  <si>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</si>
  <si>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</si>
  <si>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</si>
  <si>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</si>
  <si>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</si>
  <si>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</si>
  <si>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</si>
  <si>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</si>
  <si>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</si>
  <si>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</si>
  <si>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</si>
  <si>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</si>
  <si>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</si>
  <si>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</si>
  <si>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</si>
  <si>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</si>
  <si>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</si>
  <si>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</si>
  <si>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</si>
  <si>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</si>
  <si>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</si>
  <si>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</si>
  <si>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</si>
  <si>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</si>
  <si>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</si>
  <si>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</si>
  <si>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</si>
  <si>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</si>
  <si>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</si>
  <si>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</si>
  <si>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</si>
  <si>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</si>
  <si>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</si>
  <si>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</si>
  <si>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</si>
  <si>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</si>
  <si>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</si>
  <si>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</si>
  <si>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</si>
  <si>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</si>
  <si>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</si>
  <si>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</si>
  <si>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</si>
  <si>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</si>
  <si>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</si>
  <si>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</si>
  <si>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</si>
  <si>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</si>
  <si>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</si>
  <si>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</si>
  <si>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</si>
  <si>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</si>
  <si>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</si>
  <si>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</si>
  <si>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</si>
  <si>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</si>
  <si>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</si>
  <si>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</si>
  <si>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</si>
  <si>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</si>
  <si>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</si>
  <si>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</si>
  <si>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</si>
  <si>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</si>
  <si>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</si>
  <si>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</si>
  <si>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</si>
  <si>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</si>
  <si>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</si>
  <si>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</si>
  <si>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</si>
  <si>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</si>
  <si>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</si>
  <si>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</si>
  <si>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</si>
  <si>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</si>
  <si>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</si>
  <si>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</si>
  <si>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</si>
  <si>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</si>
  <si>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</si>
  <si>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</si>
  <si>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</si>
  <si>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</si>
  <si>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</si>
  <si>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</si>
  <si>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</si>
  <si>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</si>
  <si>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</si>
  <si>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</si>
  <si>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</si>
  <si>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</si>
  <si>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</si>
  <si>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</si>
  <si>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</si>
  <si>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</si>
  <si>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</si>
  <si>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</si>
  <si>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</si>
  <si>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</si>
  <si>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</si>
  <si>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</si>
  <si>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</si>
  <si>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</si>
  <si>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</si>
  <si>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</si>
  <si>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</si>
  <si>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</si>
  <si>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</si>
  <si>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</si>
  <si>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</si>
  <si>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</si>
  <si>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</si>
  <si>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</si>
  <si>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</si>
  <si>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</si>
  <si>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</si>
  <si>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</si>
  <si>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</si>
  <si>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</si>
  <si>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</si>
  <si>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</si>
  <si>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</si>
  <si>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</si>
  <si>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</si>
  <si>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</si>
  <si>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</si>
  <si>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</si>
  <si>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</si>
  <si>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</si>
  <si>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</si>
  <si>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</si>
  <si>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</si>
  <si>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</si>
  <si>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</si>
  <si>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</si>
  <si>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</si>
  <si>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</si>
  <si>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</si>
  <si>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</si>
  <si>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</si>
  <si>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</si>
  <si>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</si>
  <si>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</si>
  <si>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</si>
  <si>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</si>
  <si>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</si>
  <si>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</si>
  <si>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</si>
  <si>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</si>
  <si>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</si>
  <si>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</si>
  <si>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</si>
  <si>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</si>
  <si>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</si>
  <si>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</si>
  <si>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</si>
  <si>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</si>
  <si>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</si>
  <si>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</si>
  <si>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</si>
  <si>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</si>
  <si>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</si>
  <si>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</si>
  <si>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</si>
  <si>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</si>
  <si>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</si>
  <si>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</si>
  <si>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</si>
  <si>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</si>
  <si>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</si>
  <si>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</si>
  <si>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</si>
  <si>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</si>
  <si>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</si>
  <si>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</si>
  <si>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</si>
  <si>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</si>
  <si>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</si>
  <si>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</si>
  <si>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</si>
  <si>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</si>
  <si>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</si>
  <si>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</si>
  <si>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</si>
  <si>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</si>
  <si>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</si>
  <si>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</si>
  <si>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</si>
  <si>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</si>
  <si>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</si>
  <si>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</si>
  <si>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</si>
  <si>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</si>
  <si>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</si>
  <si>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</si>
  <si>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</si>
  <si>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</si>
  <si>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</si>
  <si>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</si>
  <si>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</si>
  <si>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</si>
  <si>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</si>
  <si>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</si>
  <si>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</si>
  <si>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</si>
  <si>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</si>
  <si>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</si>
  <si>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</si>
  <si>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</si>
  <si>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</si>
  <si>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</si>
  <si>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</si>
  <si>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</si>
  <si>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</si>
  <si>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</si>
  <si>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</si>
  <si>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</si>
  <si>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</si>
  <si>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</si>
  <si>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</si>
  <si>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</si>
  <si>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</si>
  <si>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</si>
  <si>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</si>
  <si>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</si>
  <si>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</si>
  <si>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</si>
  <si>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</si>
  <si>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</si>
  <si>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</si>
  <si>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</si>
  <si>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</si>
  <si>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</si>
  <si>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</si>
  <si>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</si>
  <si>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</si>
  <si>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</si>
  <si>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</si>
  <si>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</si>
  <si>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</si>
  <si>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</si>
  <si>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</si>
  <si>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</si>
  <si>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</si>
  <si>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</si>
  <si>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</si>
  <si>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</si>
  <si>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</si>
  <si>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</si>
  <si>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</si>
  <si>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</si>
  <si>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</si>
  <si>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</si>
  <si>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</si>
  <si>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</si>
  <si>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</si>
  <si>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</si>
  <si>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</si>
  <si>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</si>
  <si>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</si>
  <si>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</si>
  <si>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</si>
  <si>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</si>
  <si>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</si>
  <si>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</si>
  <si>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</si>
  <si>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</si>
  <si>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</si>
  <si>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</si>
  <si>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</si>
  <si>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</si>
  <si>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</si>
  <si>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</si>
  <si>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</si>
  <si>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</si>
  <si>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</si>
  <si>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</si>
  <si>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</si>
  <si>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</si>
  <si>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</si>
  <si>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</si>
  <si>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</si>
  <si>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</si>
  <si>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</si>
  <si>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</si>
  <si>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</si>
  <si>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</si>
  <si>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</si>
  <si>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</si>
  <si>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</si>
  <si>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</si>
  <si>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</si>
  <si>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</si>
  <si>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</si>
  <si>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</si>
  <si>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</si>
  <si>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</si>
  <si>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</si>
  <si>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</si>
  <si>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</si>
  <si>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</si>
  <si>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</si>
  <si>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</si>
  <si>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</si>
  <si>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</si>
  <si>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</si>
  <si>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</si>
  <si>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</si>
  <si>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</si>
  <si>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</si>
  <si>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</si>
  <si>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</si>
  <si>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</si>
  <si>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</si>
  <si>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</si>
  <si>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</si>
  <si>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</si>
  <si>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</si>
  <si>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</si>
  <si>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</si>
  <si>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</si>
  <si>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</si>
  <si>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</si>
  <si>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</si>
  <si>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</si>
  <si>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</si>
  <si>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</si>
  <si>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</si>
  <si>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</si>
  <si>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</si>
  <si>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</si>
  <si>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</si>
  <si>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</si>
  <si>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</si>
  <si>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</si>
  <si>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</si>
  <si>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</si>
  <si>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</si>
  <si>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</si>
  <si>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</si>
  <si>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</si>
  <si>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</si>
  <si>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</si>
  <si>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</si>
  <si>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</si>
  <si>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</si>
  <si>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</si>
  <si>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</si>
  <si>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</si>
  <si>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</si>
  <si>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</si>
  <si>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</si>
  <si>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</si>
  <si>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</si>
  <si>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</si>
  <si>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</si>
  <si>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</si>
  <si>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</si>
  <si>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</si>
  <si>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</si>
  <si>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</si>
  <si>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</si>
  <si>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</si>
  <si>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</si>
  <si>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</si>
  <si>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</si>
  <si>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</si>
  <si>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</si>
  <si>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</si>
  <si>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</si>
  <si>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</si>
  <si>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</si>
  <si>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</si>
  <si>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</si>
  <si>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</si>
  <si>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</si>
  <si>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</si>
  <si>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</si>
  <si>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</si>
  <si>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</si>
  <si>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</si>
  <si>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</si>
  <si>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</si>
  <si>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</si>
  <si>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</si>
  <si>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</si>
  <si>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</si>
  <si>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</si>
  <si>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</si>
  <si>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</si>
  <si>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</si>
  <si>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</si>
  <si>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</si>
  <si>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</si>
  <si>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</si>
  <si>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</si>
  <si>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</si>
  <si>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</si>
  <si>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</si>
  <si>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</si>
  <si>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</si>
  <si>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</si>
  <si>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</si>
  <si>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</si>
  <si>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</si>
  <si>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</si>
  <si>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</si>
  <si>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</si>
  <si>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</si>
  <si>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</si>
  <si>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</si>
  <si>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</si>
  <si>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</si>
  <si>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</si>
  <si>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</si>
  <si>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</si>
  <si>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</si>
  <si>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</si>
  <si>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</si>
  <si>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</si>
  <si>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</si>
  <si>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</si>
  <si>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</si>
  <si>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</si>
  <si>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</si>
  <si>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</si>
  <si>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</si>
  <si>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</si>
  <si>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</si>
  <si>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</si>
  <si>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</si>
  <si>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</si>
  <si>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</si>
  <si>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</si>
  <si>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</si>
  <si>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</si>
  <si>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</si>
  <si>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</si>
  <si>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</si>
  <si>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</si>
  <si>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</si>
  <si>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</si>
  <si>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</si>
  <si>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</si>
  <si>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</si>
  <si>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</si>
  <si>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</si>
  <si>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</si>
  <si>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</si>
  <si>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</si>
  <si>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</si>
  <si>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</si>
  <si>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</si>
  <si>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</si>
  <si>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</si>
  <si>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</si>
  <si>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</si>
  <si>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</si>
  <si>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</si>
  <si>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</si>
  <si>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</si>
  <si>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</si>
  <si>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</si>
  <si>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</si>
  <si>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</si>
  <si>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</si>
  <si>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</si>
  <si>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</si>
  <si>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</si>
  <si>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</si>
  <si>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</si>
  <si>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</si>
  <si>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</si>
  <si>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</si>
  <si>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</si>
  <si>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</si>
  <si>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</si>
  <si>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</si>
  <si>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</si>
  <si>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</si>
  <si>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</si>
  <si>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</si>
  <si>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</si>
  <si>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</si>
  <si>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</si>
  <si>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</si>
  <si>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</si>
  <si>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</si>
  <si>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</si>
  <si>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</si>
  <si>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</si>
  <si>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</si>
  <si>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</si>
  <si>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</si>
  <si>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</si>
  <si>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</si>
  <si>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</si>
  <si>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</si>
  <si>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</si>
  <si>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</si>
  <si>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</si>
  <si>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</si>
  <si>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</si>
  <si>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</si>
  <si>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</si>
  <si>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</si>
  <si>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</si>
  <si>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</si>
  <si>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</si>
  <si>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</si>
  <si>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</si>
  <si>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</si>
  <si>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</si>
  <si>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</si>
  <si>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</si>
  <si>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</si>
  <si>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</si>
  <si>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</si>
  <si>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</si>
  <si>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</si>
  <si>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</si>
  <si>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</si>
  <si>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</si>
  <si>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</si>
  <si>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</si>
  <si>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</si>
  <si>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</si>
  <si>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</si>
  <si>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</si>
  <si>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</si>
  <si>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</si>
  <si>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</si>
  <si>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</si>
  <si>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</si>
  <si>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</si>
  <si>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</si>
  <si>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</si>
  <si>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</si>
  <si>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</si>
  <si>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</si>
  <si>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</si>
  <si>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</si>
  <si>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</si>
  <si>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</si>
  <si>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</si>
  <si>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</si>
  <si>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</si>
  <si>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</si>
  <si>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</si>
  <si>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</si>
  <si>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</si>
  <si>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</si>
  <si>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</si>
  <si>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</si>
  <si>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</si>
  <si>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</si>
  <si>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</si>
  <si>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</si>
  <si>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</si>
  <si>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</si>
  <si>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</si>
  <si>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</si>
  <si>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</si>
  <si>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</si>
  <si>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</si>
  <si>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</si>
  <si>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</si>
  <si>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</si>
  <si>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</si>
  <si>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</si>
  <si>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</si>
  <si>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</si>
  <si>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</si>
  <si>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</si>
  <si>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</si>
  <si>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</si>
  <si>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</si>
  <si>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</si>
  <si>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</si>
  <si>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</si>
  <si>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</si>
  <si>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</si>
  <si>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</si>
  <si>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</si>
  <si>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</si>
  <si>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</si>
  <si>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</si>
  <si>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</si>
  <si>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</si>
  <si>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</si>
  <si>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</si>
  <si>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</si>
  <si>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</si>
  <si>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</si>
  <si>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</si>
  <si>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</si>
  <si>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</si>
  <si>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</si>
  <si>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</si>
  <si>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</si>
  <si>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</si>
  <si>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</si>
  <si>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</si>
  <si>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</si>
  <si>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</si>
  <si>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</si>
  <si>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</si>
  <si>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</si>
  <si>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</si>
  <si>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</si>
  <si>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</si>
  <si>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</si>
  <si>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</si>
  <si>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</si>
  <si>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</si>
  <si>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</si>
  <si>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</si>
  <si>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</si>
  <si>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</si>
  <si>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</si>
  <si>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</si>
  <si>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</si>
  <si>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</si>
  <si>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</si>
  <si>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</si>
  <si>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</si>
  <si>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</si>
  <si>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</si>
  <si>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</si>
  <si>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</si>
  <si>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</si>
  <si>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</si>
  <si>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</si>
  <si>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</si>
  <si>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</si>
  <si>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</si>
  <si>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</si>
  <si>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</si>
  <si>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</si>
  <si>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</si>
  <si>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</si>
  <si>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</si>
  <si>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</si>
  <si>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</si>
  <si>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</si>
  <si>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</si>
  <si>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</si>
  <si>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</si>
  <si>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</si>
  <si>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</si>
  <si>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</si>
  <si>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</si>
  <si>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</si>
  <si>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</si>
  <si>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</si>
  <si>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</si>
  <si>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</si>
  <si>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</si>
  <si>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</si>
  <si>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</si>
  <si>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</si>
  <si>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</si>
  <si>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</si>
  <si>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</si>
  <si>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</si>
  <si>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</si>
  <si>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</si>
  <si>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</si>
  <si>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</si>
  <si>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</si>
  <si>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</si>
  <si>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</si>
  <si>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</si>
  <si>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</si>
  <si>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</si>
  <si>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</si>
  <si>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</si>
  <si>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</si>
  <si>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</si>
  <si>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</si>
  <si>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</si>
  <si>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</si>
  <si>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</si>
  <si>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</si>
  <si>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</si>
  <si>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</si>
  <si>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</si>
  <si>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</si>
  <si>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</si>
  <si>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</si>
  <si>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</si>
  <si>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</si>
  <si>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</si>
  <si>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</si>
  <si>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</si>
  <si>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</si>
  <si>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</si>
  <si>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</si>
  <si>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</si>
  <si>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</si>
  <si>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</si>
  <si>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</si>
  <si>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</si>
  <si>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</si>
  <si>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</si>
  <si>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</si>
  <si>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</si>
  <si>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</si>
  <si>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</si>
  <si>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</si>
  <si>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</si>
  <si>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</si>
  <si>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</si>
  <si>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</si>
  <si>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</si>
  <si>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</si>
  <si>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</si>
  <si>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</si>
  <si>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</si>
  <si>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</si>
  <si>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</si>
  <si>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</si>
  <si>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</si>
  <si>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</si>
  <si>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</si>
  <si>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</si>
  <si>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</si>
  <si>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</si>
  <si>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</si>
  <si>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</si>
  <si>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</si>
  <si>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</si>
  <si>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</si>
  <si>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</si>
  <si>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</si>
  <si>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</si>
  <si>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</si>
  <si>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</si>
  <si>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</si>
  <si>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</si>
  <si>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</si>
  <si>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</si>
  <si>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</si>
  <si>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</si>
  <si>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</si>
  <si>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</si>
  <si>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</si>
  <si>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</si>
  <si>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</si>
  <si>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</si>
  <si>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</si>
  <si>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</si>
  <si>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</si>
  <si>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</si>
  <si>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</si>
  <si>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</si>
  <si>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</si>
  <si>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</si>
  <si>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</si>
  <si>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</si>
  <si>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</si>
  <si>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</si>
  <si>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</si>
  <si>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Log</t>
  </si>
  <si>
    <t>Xp</t>
  </si>
  <si>
    <t>Root</t>
  </si>
  <si>
    <t>Factor</t>
  </si>
  <si>
    <t>TrueLevel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</si>
</sst>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7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9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6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2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43" fontId="0" fillId="0" borderId="3" xfId="1" applyNumberFormat="1" applyFont="1" applyBorder="1"/>
    <xf numFmtId="166" fontId="0" fillId="0" borderId="3" xfId="1" applyNumberFormat="1" applyFont="1" applyBorder="1"/>
    <xf numFmtId="166" fontId="0" fillId="0" borderId="0" xfId="1" applyNumberFormat="1" applyFont="1"/>
    <xf numFmtId="43" fontId="0" fillId="0" borderId="0" xfId="1" applyNumberFormat="1" applyFont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2BDAE380-C54D-4284-8AD0-8B493BCF5592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D707"/>
  <sheetViews>
    <sheetView tabSelected="1" topLeftCell="A123" zoomScale="130" zoomScaleNormal="130" workbookViewId="0">
      <selection activeCell="AG131" sqref="AG131"/>
    </sheetView>
  </sheetViews>
  <sheetFormatPr baseColWidth="10" defaultRowHeight="12.75" x14ac:dyDescent="0.2"/>
  <cols>
    <col min="1" max="1" width="35.28515625" style="29" customWidth="1"/>
    <col min="2" max="2" width="8" style="29" customWidth="1"/>
    <col min="3" max="3" width="0.42578125" style="29" customWidth="1"/>
    <col min="4" max="4" width="5.5703125" style="29" customWidth="1"/>
    <col min="5" max="5" width="8.85546875" style="29" hidden="1" customWidth="1"/>
    <col min="6" max="6" width="9.42578125" style="29" hidden="1" customWidth="1"/>
    <col min="7" max="7" width="10" style="29" hidden="1" customWidth="1"/>
    <col min="8" max="8" width="10.5703125" style="29" hidden="1" customWidth="1"/>
    <col min="9" max="9" width="9.140625" style="29" hidden="1" customWidth="1"/>
    <col min="10" max="10" width="15.42578125" style="29" hidden="1" customWidth="1"/>
    <col min="11" max="11" width="7.85546875" style="29" hidden="1" customWidth="1"/>
    <col min="12" max="12" width="8.28515625" style="29" hidden="1" customWidth="1"/>
    <col min="13" max="13" width="10.5703125" style="29" hidden="1" customWidth="1"/>
    <col min="14" max="14" width="8.5703125" style="29" hidden="1" customWidth="1"/>
    <col min="15" max="15" width="12.85546875" style="29" hidden="1" customWidth="1"/>
    <col min="16" max="16" width="10" style="32" hidden="1" customWidth="1"/>
    <col min="17" max="17" width="9.140625" style="32" hidden="1" customWidth="1"/>
    <col min="18" max="18" width="11.5703125" style="33" hidden="1" customWidth="1"/>
    <col min="19" max="19" width="14.5703125" style="29" hidden="1" customWidth="1"/>
    <col min="20" max="20" width="11.42578125" style="33" hidden="1" customWidth="1"/>
    <col min="21" max="22" width="14.7109375" style="29" hidden="1" customWidth="1"/>
    <col min="23" max="23" width="19.7109375" style="29" hidden="1" customWidth="1"/>
    <col min="24" max="24" width="11.42578125" style="33" hidden="1" customWidth="1"/>
    <col min="25" max="26" width="0" style="33" hidden="1" customWidth="1"/>
    <col min="27" max="27" width="0" style="29" hidden="1" customWidth="1"/>
    <col min="28" max="28" width="11.42578125" style="48"/>
    <col min="29" max="29" width="9.42578125" style="29" customWidth="1"/>
    <col min="30" max="30" width="10.140625" style="47" customWidth="1"/>
    <col min="31" max="16384" width="11.42578125" style="29"/>
  </cols>
  <sheetData>
    <row r="1" spans="1:30" ht="13.5" thickBot="1" x14ac:dyDescent="0.25">
      <c r="A1" s="35"/>
      <c r="B1" s="35" t="s">
        <v>8834</v>
      </c>
      <c r="C1" s="35" t="s">
        <v>6</v>
      </c>
      <c r="D1" s="35" t="s">
        <v>5</v>
      </c>
      <c r="E1" s="35" t="s">
        <v>7</v>
      </c>
      <c r="F1" s="35" t="s">
        <v>8</v>
      </c>
      <c r="G1" s="35" t="s">
        <v>9</v>
      </c>
      <c r="H1" s="35" t="s">
        <v>10</v>
      </c>
      <c r="I1" s="35" t="s">
        <v>11</v>
      </c>
      <c r="J1" s="35" t="s">
        <v>8835</v>
      </c>
      <c r="K1" s="35" t="s">
        <v>8836</v>
      </c>
      <c r="L1" s="35" t="s">
        <v>8837</v>
      </c>
      <c r="M1" s="35" t="s">
        <v>8838</v>
      </c>
      <c r="N1" s="36" t="s">
        <v>8839</v>
      </c>
      <c r="O1" s="35" t="s">
        <v>8868</v>
      </c>
      <c r="P1" s="37" t="s">
        <v>8869</v>
      </c>
      <c r="Q1" s="38" t="s">
        <v>8870</v>
      </c>
      <c r="R1" s="39" t="s">
        <v>8871</v>
      </c>
      <c r="S1" s="36" t="s">
        <v>8872</v>
      </c>
      <c r="T1" s="39" t="s">
        <v>8873</v>
      </c>
      <c r="U1" s="35" t="s">
        <v>8874</v>
      </c>
      <c r="V1" s="43" t="s">
        <v>8877</v>
      </c>
      <c r="W1" s="35" t="s">
        <v>8875</v>
      </c>
      <c r="X1" s="40" t="s">
        <v>8876</v>
      </c>
      <c r="Y1" s="35" t="s">
        <v>8878</v>
      </c>
      <c r="Z1" s="35" t="s">
        <v>8879</v>
      </c>
      <c r="AA1" s="35" t="s">
        <v>5</v>
      </c>
      <c r="AB1" s="45">
        <v>3</v>
      </c>
      <c r="AC1" s="35" t="s">
        <v>8880</v>
      </c>
      <c r="AD1" s="46" t="s">
        <v>8879</v>
      </c>
    </row>
    <row r="2" spans="1:30" x14ac:dyDescent="0.2">
      <c r="A2" s="30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4"/>
      <c r="O2" s="29">
        <f t="shared" ref="O2:O65" si="0">AVERAGE(K2, L2)</f>
        <v>40.5</v>
      </c>
      <c r="P2" s="32" cm="1">
        <f t="array" ref="P2">WPNFACTOR(C2)</f>
        <v>4.5</v>
      </c>
      <c r="Q2" s="34" cm="1">
        <f t="array" ref="Q2">HPFACTOr(C2)</f>
        <v>2</v>
      </c>
      <c r="R2" s="33">
        <f t="shared" ref="R2:R65" si="1">O2/P2</f>
        <v>9</v>
      </c>
      <c r="S2" s="34">
        <f t="shared" ref="S2:S65" si="2">J2/Q2</f>
        <v>847</v>
      </c>
      <c r="T2" s="33">
        <f t="shared" ref="T2:T65" si="3">R2*(1 + (N2/400))</f>
        <v>9</v>
      </c>
      <c r="U2" s="42">
        <f t="shared" ref="U2:U65" si="4">S2*1.6/(1 + (0.6*(1 - (M2/100))))</f>
        <v>847</v>
      </c>
      <c r="V2" s="44"/>
      <c r="W2" s="29">
        <f>T2*U2</f>
        <v>7623</v>
      </c>
      <c r="X2" s="41">
        <f t="shared" ref="X2:X65" si="5">LOG(W2, 2)</f>
        <v>12.896143160774511</v>
      </c>
      <c r="Y2" s="33">
        <f>POWER(W2, 1/4)</f>
        <v>9.3439709580633572</v>
      </c>
      <c r="Z2" s="33">
        <v>1.33</v>
      </c>
      <c r="AA2" s="29">
        <f>Y2*Z2</f>
        <v>12.427481374224266</v>
      </c>
      <c r="AB2" s="48">
        <f>POWER(W2, 1/$AB$1)</f>
        <v>19.68076489194457</v>
      </c>
      <c r="AC2" s="29">
        <v>10</v>
      </c>
      <c r="AD2" s="47">
        <f>IF(AC2 = "", ,AC2/AB2)</f>
        <v>0.50811033285058183</v>
      </c>
    </row>
    <row r="3" spans="1:30" x14ac:dyDescent="0.2">
      <c r="A3" s="30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4"/>
      <c r="O3" s="29">
        <f t="shared" si="0"/>
        <v>20.5</v>
      </c>
      <c r="P3" s="32" cm="1">
        <f t="array" ref="P3">WPNFACTOR(C3)</f>
        <v>2</v>
      </c>
      <c r="Q3" s="34" cm="1">
        <f t="array" ref="Q3">HPFACTOr(C3)</f>
        <v>5</v>
      </c>
      <c r="R3" s="33">
        <f t="shared" si="1"/>
        <v>10.25</v>
      </c>
      <c r="S3" s="34">
        <f t="shared" si="2"/>
        <v>1313</v>
      </c>
      <c r="T3" s="33">
        <f t="shared" si="3"/>
        <v>10.25</v>
      </c>
      <c r="U3" s="42">
        <f t="shared" si="4"/>
        <v>1313</v>
      </c>
      <c r="V3" s="44"/>
      <c r="W3" s="29">
        <f t="shared" ref="W3:W66" si="6">T3*U3</f>
        <v>13458.25</v>
      </c>
      <c r="X3" s="41">
        <f t="shared" si="5"/>
        <v>13.71620320551097</v>
      </c>
      <c r="Y3" s="33">
        <f t="shared" ref="Y3:Y66" si="7">POWER(W3, 1/4)</f>
        <v>10.770779817194285</v>
      </c>
      <c r="Z3" s="33">
        <v>1.33</v>
      </c>
      <c r="AA3" s="29">
        <f t="shared" ref="AA3:AA66" si="8">Y3*Z3</f>
        <v>14.325137156868399</v>
      </c>
      <c r="AB3" s="48">
        <f t="shared" ref="AB3:AB66" si="9">POWER(W3, 1/$AB$1)</f>
        <v>23.78644450877114</v>
      </c>
      <c r="AC3" s="29">
        <v>10</v>
      </c>
      <c r="AD3" s="47">
        <f t="shared" ref="AD3:AD66" si="10">IF(AC3 = "", ,AC3/AB3)</f>
        <v>0.4204075138809647</v>
      </c>
    </row>
    <row r="4" spans="1:30" x14ac:dyDescent="0.2">
      <c r="A4" s="30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4"/>
      <c r="O4" s="29">
        <f t="shared" si="0"/>
        <v>25.5</v>
      </c>
      <c r="P4" s="32" cm="1">
        <f t="array" ref="P4">WPNFACTOR(C4)</f>
        <v>2</v>
      </c>
      <c r="Q4" s="34" cm="1">
        <f t="array" ref="Q4">HPFACTOr(C4)</f>
        <v>5</v>
      </c>
      <c r="R4" s="33">
        <f t="shared" si="1"/>
        <v>12.75</v>
      </c>
      <c r="S4" s="34">
        <f t="shared" si="2"/>
        <v>1860</v>
      </c>
      <c r="T4" s="33">
        <f t="shared" si="3"/>
        <v>12.75</v>
      </c>
      <c r="U4" s="42">
        <f t="shared" si="4"/>
        <v>1860</v>
      </c>
      <c r="V4" s="44"/>
      <c r="W4" s="29">
        <f t="shared" si="6"/>
        <v>23715</v>
      </c>
      <c r="X4" s="41">
        <f t="shared" si="5"/>
        <v>14.53351224796689</v>
      </c>
      <c r="Y4" s="33">
        <f t="shared" si="7"/>
        <v>12.409542828506099</v>
      </c>
      <c r="Z4" s="33">
        <v>1.33</v>
      </c>
      <c r="AA4" s="29">
        <f t="shared" si="8"/>
        <v>16.504691961913114</v>
      </c>
      <c r="AB4" s="48">
        <f t="shared" si="9"/>
        <v>28.730358354762643</v>
      </c>
      <c r="AC4" s="29">
        <v>10</v>
      </c>
      <c r="AD4" s="47">
        <f t="shared" si="10"/>
        <v>0.3480638799043137</v>
      </c>
    </row>
    <row r="5" spans="1:30" x14ac:dyDescent="0.2">
      <c r="A5" s="30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4"/>
      <c r="O5" s="29">
        <f t="shared" si="0"/>
        <v>36.5</v>
      </c>
      <c r="P5" s="32" cm="1">
        <f t="array" ref="P5">WPNFACTOR(C5)</f>
        <v>2.5</v>
      </c>
      <c r="Q5" s="34" cm="1">
        <f t="array" ref="Q5">HPFACTOr(C5)</f>
        <v>4</v>
      </c>
      <c r="R5" s="33">
        <f t="shared" si="1"/>
        <v>14.6</v>
      </c>
      <c r="S5" s="34">
        <f t="shared" si="2"/>
        <v>2227</v>
      </c>
      <c r="T5" s="33">
        <f t="shared" si="3"/>
        <v>14.6</v>
      </c>
      <c r="U5" s="42">
        <f t="shared" si="4"/>
        <v>2227</v>
      </c>
      <c r="V5" s="44"/>
      <c r="W5" s="29">
        <f t="shared" si="6"/>
        <v>32514.2</v>
      </c>
      <c r="X5" s="41">
        <f t="shared" si="5"/>
        <v>14.988782306780445</v>
      </c>
      <c r="Y5" s="33">
        <f t="shared" si="7"/>
        <v>13.428214445195518</v>
      </c>
      <c r="Z5" s="33">
        <v>1.33</v>
      </c>
      <c r="AA5" s="29">
        <f t="shared" si="8"/>
        <v>17.859525212110039</v>
      </c>
      <c r="AB5" s="48">
        <f t="shared" si="9"/>
        <v>31.917168589918671</v>
      </c>
      <c r="AC5" s="29">
        <v>10</v>
      </c>
      <c r="AD5" s="47">
        <f t="shared" si="10"/>
        <v>0.31331099974696974</v>
      </c>
    </row>
    <row r="6" spans="1:30" x14ac:dyDescent="0.2">
      <c r="A6" s="30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4"/>
      <c r="O6" s="29">
        <f t="shared" si="0"/>
        <v>34</v>
      </c>
      <c r="P6" s="32" cm="1">
        <f t="array" ref="P6">WPNFACTOR(C6)</f>
        <v>2</v>
      </c>
      <c r="Q6" s="34" cm="1">
        <f t="array" ref="Q6">HPFACTOr(C6)</f>
        <v>5</v>
      </c>
      <c r="R6" s="33">
        <f t="shared" si="1"/>
        <v>17</v>
      </c>
      <c r="S6" s="34">
        <f t="shared" si="2"/>
        <v>3211</v>
      </c>
      <c r="T6" s="33">
        <f t="shared" si="3"/>
        <v>17</v>
      </c>
      <c r="U6" s="42">
        <f t="shared" si="4"/>
        <v>3211</v>
      </c>
      <c r="V6" s="44"/>
      <c r="W6" s="29">
        <f t="shared" si="6"/>
        <v>54587</v>
      </c>
      <c r="X6" s="41">
        <f t="shared" si="5"/>
        <v>15.73626979097611</v>
      </c>
      <c r="Y6" s="33">
        <f t="shared" si="7"/>
        <v>15.285241569008603</v>
      </c>
      <c r="Z6" s="33">
        <v>1.33</v>
      </c>
      <c r="AA6" s="29">
        <f t="shared" si="8"/>
        <v>20.329371286781441</v>
      </c>
      <c r="AB6" s="48">
        <f t="shared" si="9"/>
        <v>37.934096295067057</v>
      </c>
      <c r="AC6" s="29">
        <v>11</v>
      </c>
      <c r="AD6" s="47">
        <f t="shared" si="10"/>
        <v>0.28997659294259864</v>
      </c>
    </row>
    <row r="7" spans="1:30" x14ac:dyDescent="0.2">
      <c r="A7" s="30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4"/>
      <c r="O7" s="29">
        <f t="shared" si="0"/>
        <v>93.5</v>
      </c>
      <c r="P7" s="32" cm="1">
        <f t="array" ref="P7">WPNFACTOR(C7)</f>
        <v>4.5</v>
      </c>
      <c r="Q7" s="34" cm="1">
        <f t="array" ref="Q7">HPFACTOr(C7)</f>
        <v>2</v>
      </c>
      <c r="R7" s="33">
        <f t="shared" si="1"/>
        <v>20.777777777777779</v>
      </c>
      <c r="S7" s="34">
        <f t="shared" si="2"/>
        <v>4554</v>
      </c>
      <c r="T7" s="33">
        <f t="shared" si="3"/>
        <v>20.777777777777779</v>
      </c>
      <c r="U7" s="42">
        <f t="shared" si="4"/>
        <v>4554</v>
      </c>
      <c r="V7" s="44"/>
      <c r="W7" s="29">
        <f t="shared" si="6"/>
        <v>94622</v>
      </c>
      <c r="X7" s="41">
        <f t="shared" si="5"/>
        <v>16.529888034581948</v>
      </c>
      <c r="Y7" s="33">
        <f t="shared" si="7"/>
        <v>17.538725495041259</v>
      </c>
      <c r="Z7" s="33">
        <v>1.33</v>
      </c>
      <c r="AA7" s="29">
        <f t="shared" si="8"/>
        <v>23.326504908404875</v>
      </c>
      <c r="AB7" s="48">
        <f t="shared" si="9"/>
        <v>45.56842741121504</v>
      </c>
      <c r="AC7" s="29">
        <v>11</v>
      </c>
      <c r="AD7" s="47">
        <f t="shared" si="10"/>
        <v>0.24139520771113429</v>
      </c>
    </row>
    <row r="8" spans="1:30" x14ac:dyDescent="0.2">
      <c r="A8" s="30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4"/>
      <c r="O8" s="29">
        <f t="shared" si="0"/>
        <v>48</v>
      </c>
      <c r="P8" s="32" cm="1">
        <f t="array" ref="P8">WPNFACTOR(C8)</f>
        <v>2</v>
      </c>
      <c r="Q8" s="34" cm="1">
        <f t="array" ref="Q8">HPFACTOr(C8)</f>
        <v>5</v>
      </c>
      <c r="R8" s="33">
        <f t="shared" si="1"/>
        <v>24</v>
      </c>
      <c r="S8" s="34">
        <f t="shared" si="2"/>
        <v>7020</v>
      </c>
      <c r="T8" s="33">
        <f t="shared" si="3"/>
        <v>24</v>
      </c>
      <c r="U8" s="42">
        <f t="shared" si="4"/>
        <v>7020</v>
      </c>
      <c r="V8" s="44"/>
      <c r="W8" s="29">
        <f t="shared" si="6"/>
        <v>168480</v>
      </c>
      <c r="X8" s="41">
        <f t="shared" si="5"/>
        <v>17.36221781591308</v>
      </c>
      <c r="Y8" s="33">
        <f t="shared" si="7"/>
        <v>20.259890252311088</v>
      </c>
      <c r="Z8" s="33">
        <v>1.33</v>
      </c>
      <c r="AA8" s="29">
        <f t="shared" si="8"/>
        <v>26.945654035573749</v>
      </c>
      <c r="AB8" s="48">
        <f t="shared" si="9"/>
        <v>55.230984495095306</v>
      </c>
      <c r="AC8" s="29">
        <v>15</v>
      </c>
      <c r="AD8" s="47">
        <f t="shared" si="10"/>
        <v>0.27158668521166862</v>
      </c>
    </row>
    <row r="9" spans="1:30" x14ac:dyDescent="0.2">
      <c r="A9" s="30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4"/>
      <c r="O9" s="29">
        <f t="shared" si="0"/>
        <v>128.5</v>
      </c>
      <c r="P9" s="32" cm="1">
        <f t="array" ref="P9">WPNFACTOR(C9)</f>
        <v>4.5</v>
      </c>
      <c r="Q9" s="34" cm="1">
        <f t="array" ref="Q9">HPFACTOr(C9)</f>
        <v>2</v>
      </c>
      <c r="R9" s="33">
        <f t="shared" si="1"/>
        <v>28.555555555555557</v>
      </c>
      <c r="S9" s="34">
        <f t="shared" si="2"/>
        <v>8649</v>
      </c>
      <c r="T9" s="33">
        <f t="shared" si="3"/>
        <v>28.555555555555557</v>
      </c>
      <c r="U9" s="42">
        <f t="shared" si="4"/>
        <v>8649</v>
      </c>
      <c r="V9" s="44"/>
      <c r="W9" s="29">
        <f t="shared" si="6"/>
        <v>246977</v>
      </c>
      <c r="X9" s="41">
        <f t="shared" si="5"/>
        <v>17.914017169967629</v>
      </c>
      <c r="Y9" s="33">
        <f t="shared" si="7"/>
        <v>22.29277474426015</v>
      </c>
      <c r="Z9" s="33">
        <v>1.33</v>
      </c>
      <c r="AA9" s="29">
        <f t="shared" si="8"/>
        <v>29.649390409866001</v>
      </c>
      <c r="AB9" s="48">
        <f t="shared" si="9"/>
        <v>62.741106023468205</v>
      </c>
      <c r="AC9" s="29">
        <v>15</v>
      </c>
      <c r="AD9" s="47">
        <f t="shared" si="10"/>
        <v>0.23907771078165685</v>
      </c>
    </row>
    <row r="10" spans="1:30" x14ac:dyDescent="0.2">
      <c r="A10" s="30" t="s">
        <v>8840</v>
      </c>
      <c r="B10" s="29">
        <v>9</v>
      </c>
      <c r="C10" s="29">
        <v>1</v>
      </c>
      <c r="D10" s="29">
        <v>40</v>
      </c>
      <c r="E10" s="29">
        <v>614</v>
      </c>
      <c r="F10" s="29">
        <v>207</v>
      </c>
      <c r="G10" s="29">
        <v>191</v>
      </c>
      <c r="H10" s="29">
        <v>445</v>
      </c>
      <c r="I10" s="29">
        <v>238</v>
      </c>
      <c r="J10" s="29">
        <v>91225</v>
      </c>
      <c r="K10" s="29">
        <v>54</v>
      </c>
      <c r="L10" s="29">
        <v>95</v>
      </c>
      <c r="N10" s="34"/>
      <c r="O10" s="29">
        <f t="shared" si="0"/>
        <v>74.5</v>
      </c>
      <c r="P10" s="32" cm="1">
        <f t="array" ref="P10">WPNFACTOR(C10)</f>
        <v>2</v>
      </c>
      <c r="Q10" s="34" cm="1">
        <f t="array" ref="Q10">HPFACTOr(C10)</f>
        <v>5</v>
      </c>
      <c r="R10" s="33">
        <f t="shared" si="1"/>
        <v>37.25</v>
      </c>
      <c r="S10" s="34">
        <f t="shared" si="2"/>
        <v>18245</v>
      </c>
      <c r="T10" s="33">
        <f t="shared" si="3"/>
        <v>37.25</v>
      </c>
      <c r="U10" s="42">
        <f t="shared" si="4"/>
        <v>18245</v>
      </c>
      <c r="V10" s="44"/>
      <c r="W10" s="29">
        <f t="shared" si="6"/>
        <v>679626.25</v>
      </c>
      <c r="X10" s="41">
        <f t="shared" si="5"/>
        <v>19.374382050934006</v>
      </c>
      <c r="Y10" s="33">
        <f t="shared" si="7"/>
        <v>28.712270456218089</v>
      </c>
      <c r="Z10" s="33">
        <v>1.33</v>
      </c>
      <c r="AA10" s="29">
        <f t="shared" si="8"/>
        <v>38.187319706770062</v>
      </c>
      <c r="AB10" s="48">
        <f t="shared" si="9"/>
        <v>87.920479558310788</v>
      </c>
      <c r="AC10" s="29">
        <v>27</v>
      </c>
      <c r="AD10" s="47">
        <f t="shared" si="10"/>
        <v>0.30709568618871114</v>
      </c>
    </row>
    <row r="11" spans="1:30" x14ac:dyDescent="0.2">
      <c r="A11" s="30" t="s">
        <v>8840</v>
      </c>
      <c r="B11" s="29">
        <v>10</v>
      </c>
      <c r="C11" s="29">
        <v>3</v>
      </c>
      <c r="D11" s="29">
        <v>50</v>
      </c>
      <c r="E11" s="29">
        <v>221</v>
      </c>
      <c r="F11" s="29">
        <v>847</v>
      </c>
      <c r="G11" s="31">
        <v>213</v>
      </c>
      <c r="H11" s="29">
        <v>561</v>
      </c>
      <c r="I11" s="29">
        <v>292</v>
      </c>
      <c r="J11" s="29">
        <v>114444</v>
      </c>
      <c r="K11" s="29">
        <v>86</v>
      </c>
      <c r="L11" s="29">
        <v>151</v>
      </c>
      <c r="N11" s="34"/>
      <c r="O11" s="29">
        <f t="shared" si="0"/>
        <v>118.5</v>
      </c>
      <c r="P11" s="32" cm="1">
        <f t="array" ref="P11">WPNFACTOR(C11)</f>
        <v>2.5</v>
      </c>
      <c r="Q11" s="34" cm="1">
        <f t="array" ref="Q11">HPFACTOr(C11)</f>
        <v>4</v>
      </c>
      <c r="R11" s="33">
        <f t="shared" si="1"/>
        <v>47.4</v>
      </c>
      <c r="S11" s="34">
        <f t="shared" si="2"/>
        <v>28611</v>
      </c>
      <c r="T11" s="33">
        <f t="shared" si="3"/>
        <v>47.4</v>
      </c>
      <c r="U11" s="42">
        <f t="shared" si="4"/>
        <v>28611.000000000004</v>
      </c>
      <c r="V11" s="44"/>
      <c r="W11" s="29">
        <f t="shared" si="6"/>
        <v>1356161.4000000001</v>
      </c>
      <c r="X11" s="41">
        <f t="shared" si="5"/>
        <v>20.371097456591187</v>
      </c>
      <c r="Y11" s="33">
        <f t="shared" si="7"/>
        <v>34.125407394595008</v>
      </c>
      <c r="Z11" s="33">
        <v>1.33</v>
      </c>
      <c r="AA11" s="29">
        <f t="shared" si="8"/>
        <v>45.386791834811362</v>
      </c>
      <c r="AB11" s="48">
        <f t="shared" si="9"/>
        <v>110.68882900766111</v>
      </c>
      <c r="AC11" s="29">
        <v>27</v>
      </c>
      <c r="AD11" s="47">
        <f t="shared" si="10"/>
        <v>0.24392705426607456</v>
      </c>
    </row>
    <row r="12" spans="1:30" x14ac:dyDescent="0.2">
      <c r="A12" s="30" t="s">
        <v>8841</v>
      </c>
      <c r="B12" s="29">
        <v>1</v>
      </c>
      <c r="C12" s="29">
        <v>3</v>
      </c>
      <c r="D12" s="29">
        <v>20</v>
      </c>
      <c r="E12" s="29">
        <v>101</v>
      </c>
      <c r="F12" s="29">
        <v>264</v>
      </c>
      <c r="G12" s="29">
        <v>101</v>
      </c>
      <c r="H12" s="29">
        <v>174</v>
      </c>
      <c r="I12" s="29">
        <v>119</v>
      </c>
      <c r="J12" s="29">
        <v>14616</v>
      </c>
      <c r="K12" s="29">
        <v>35</v>
      </c>
      <c r="L12" s="29">
        <v>58</v>
      </c>
      <c r="N12" s="34"/>
      <c r="O12" s="29">
        <f t="shared" si="0"/>
        <v>46.5</v>
      </c>
      <c r="P12" s="32" cm="1">
        <f t="array" ref="P12">WPNFACTOR(C12)</f>
        <v>2.5</v>
      </c>
      <c r="Q12" s="34" cm="1">
        <f t="array" ref="Q12">HPFACTOr(C12)</f>
        <v>4</v>
      </c>
      <c r="R12" s="33">
        <f t="shared" si="1"/>
        <v>18.600000000000001</v>
      </c>
      <c r="S12" s="34">
        <f t="shared" si="2"/>
        <v>3654</v>
      </c>
      <c r="T12" s="33">
        <f t="shared" si="3"/>
        <v>18.600000000000001</v>
      </c>
      <c r="U12" s="42">
        <f t="shared" si="4"/>
        <v>3654</v>
      </c>
      <c r="V12" s="44"/>
      <c r="W12" s="29">
        <f t="shared" si="6"/>
        <v>67964.400000000009</v>
      </c>
      <c r="X12" s="41">
        <f t="shared" si="5"/>
        <v>16.05249163484816</v>
      </c>
      <c r="Y12" s="33">
        <f t="shared" si="7"/>
        <v>16.146201639634786</v>
      </c>
      <c r="Z12" s="33">
        <v>1.33</v>
      </c>
      <c r="AA12" s="29">
        <f t="shared" si="8"/>
        <v>21.474448180714266</v>
      </c>
      <c r="AB12" s="48">
        <f t="shared" si="9"/>
        <v>40.809426887482878</v>
      </c>
      <c r="AC12" s="29">
        <v>20</v>
      </c>
      <c r="AD12" s="47">
        <f t="shared" si="10"/>
        <v>0.49008284421985909</v>
      </c>
    </row>
    <row r="13" spans="1:30" x14ac:dyDescent="0.2">
      <c r="A13" s="30" t="s">
        <v>8841</v>
      </c>
      <c r="B13" s="29">
        <v>2</v>
      </c>
      <c r="C13" s="29">
        <v>1</v>
      </c>
      <c r="D13" s="29">
        <v>24</v>
      </c>
      <c r="E13" s="29">
        <v>317</v>
      </c>
      <c r="F13" s="29">
        <v>126</v>
      </c>
      <c r="G13" s="29">
        <v>117</v>
      </c>
      <c r="H13" s="29">
        <v>238</v>
      </c>
      <c r="I13" s="29">
        <v>130</v>
      </c>
      <c r="J13" s="29">
        <v>29750</v>
      </c>
      <c r="K13" s="29">
        <v>33</v>
      </c>
      <c r="L13" s="29">
        <v>58</v>
      </c>
      <c r="N13" s="34"/>
      <c r="O13" s="29">
        <f t="shared" si="0"/>
        <v>45.5</v>
      </c>
      <c r="P13" s="32" cm="1">
        <f t="array" ref="P13">WPNFACTOR(C13)</f>
        <v>2</v>
      </c>
      <c r="Q13" s="34" cm="1">
        <f t="array" ref="Q13">HPFACTOr(C13)</f>
        <v>5</v>
      </c>
      <c r="R13" s="33">
        <f t="shared" si="1"/>
        <v>22.75</v>
      </c>
      <c r="S13" s="34">
        <f t="shared" si="2"/>
        <v>5950</v>
      </c>
      <c r="T13" s="33">
        <f t="shared" si="3"/>
        <v>22.75</v>
      </c>
      <c r="U13" s="42">
        <f t="shared" si="4"/>
        <v>5950</v>
      </c>
      <c r="V13" s="44"/>
      <c r="W13" s="29">
        <f t="shared" si="6"/>
        <v>135362.5</v>
      </c>
      <c r="X13" s="41">
        <f t="shared" si="5"/>
        <v>17.046468593281364</v>
      </c>
      <c r="Y13" s="33">
        <f t="shared" si="7"/>
        <v>19.181147794866213</v>
      </c>
      <c r="Z13" s="33">
        <v>1.33</v>
      </c>
      <c r="AA13" s="29">
        <f t="shared" si="8"/>
        <v>25.510926567172064</v>
      </c>
      <c r="AB13" s="48">
        <f t="shared" si="9"/>
        <v>51.34515338461707</v>
      </c>
      <c r="AC13" s="29">
        <v>20</v>
      </c>
      <c r="AD13" s="47">
        <f t="shared" si="10"/>
        <v>0.38952069828643204</v>
      </c>
    </row>
    <row r="14" spans="1:30" x14ac:dyDescent="0.2">
      <c r="A14" s="30" t="s">
        <v>8841</v>
      </c>
      <c r="B14" s="29">
        <v>3</v>
      </c>
      <c r="C14" s="29">
        <v>1</v>
      </c>
      <c r="D14" s="29">
        <v>28</v>
      </c>
      <c r="E14" s="29">
        <v>393</v>
      </c>
      <c r="F14" s="29">
        <v>138</v>
      </c>
      <c r="G14" s="29">
        <v>125</v>
      </c>
      <c r="H14" s="29">
        <v>284</v>
      </c>
      <c r="I14" s="29">
        <v>152</v>
      </c>
      <c r="J14" s="29">
        <v>41180</v>
      </c>
      <c r="K14" s="29">
        <v>40</v>
      </c>
      <c r="L14" s="29">
        <v>68</v>
      </c>
      <c r="N14" s="34"/>
      <c r="O14" s="29">
        <f t="shared" si="0"/>
        <v>54</v>
      </c>
      <c r="P14" s="32" cm="1">
        <f t="array" ref="P14">WPNFACTOR(C14)</f>
        <v>2</v>
      </c>
      <c r="Q14" s="34" cm="1">
        <f t="array" ref="Q14">HPFACTOr(C14)</f>
        <v>5</v>
      </c>
      <c r="R14" s="33">
        <f t="shared" si="1"/>
        <v>27</v>
      </c>
      <c r="S14" s="34">
        <f t="shared" si="2"/>
        <v>8236</v>
      </c>
      <c r="T14" s="33">
        <f t="shared" si="3"/>
        <v>27</v>
      </c>
      <c r="U14" s="42">
        <f t="shared" si="4"/>
        <v>8236</v>
      </c>
      <c r="V14" s="44"/>
      <c r="W14" s="29">
        <f t="shared" si="6"/>
        <v>222372</v>
      </c>
      <c r="X14" s="41">
        <f t="shared" si="5"/>
        <v>17.762615616795724</v>
      </c>
      <c r="Y14" s="33">
        <f t="shared" si="7"/>
        <v>21.715509603854233</v>
      </c>
      <c r="Z14" s="33">
        <v>1.33</v>
      </c>
      <c r="AA14" s="29">
        <f t="shared" si="8"/>
        <v>28.88162777312613</v>
      </c>
      <c r="AB14" s="48">
        <f t="shared" si="9"/>
        <v>60.584291585787554</v>
      </c>
      <c r="AC14" s="29">
        <v>21</v>
      </c>
      <c r="AD14" s="47">
        <f t="shared" si="10"/>
        <v>0.34662450365147757</v>
      </c>
    </row>
    <row r="15" spans="1:30" x14ac:dyDescent="0.2">
      <c r="A15" s="30" t="s">
        <v>8841</v>
      </c>
      <c r="B15" s="29">
        <v>4</v>
      </c>
      <c r="C15" s="29">
        <v>3</v>
      </c>
      <c r="D15" s="29">
        <v>34</v>
      </c>
      <c r="E15" s="29">
        <v>143</v>
      </c>
      <c r="F15" s="29">
        <v>554</v>
      </c>
      <c r="G15" s="29">
        <v>144</v>
      </c>
      <c r="H15" s="29">
        <v>303</v>
      </c>
      <c r="I15" s="29">
        <v>216</v>
      </c>
      <c r="J15" s="29">
        <v>42420</v>
      </c>
      <c r="K15" s="29">
        <v>64</v>
      </c>
      <c r="L15" s="29">
        <v>98</v>
      </c>
      <c r="N15" s="34"/>
      <c r="O15" s="29">
        <f t="shared" si="0"/>
        <v>81</v>
      </c>
      <c r="P15" s="32" cm="1">
        <f t="array" ref="P15">WPNFACTOR(C15)</f>
        <v>2.5</v>
      </c>
      <c r="Q15" s="34" cm="1">
        <f t="array" ref="Q15">HPFACTOr(C15)</f>
        <v>4</v>
      </c>
      <c r="R15" s="33">
        <f t="shared" si="1"/>
        <v>32.4</v>
      </c>
      <c r="S15" s="34">
        <f t="shared" si="2"/>
        <v>10605</v>
      </c>
      <c r="T15" s="33">
        <f t="shared" si="3"/>
        <v>32.4</v>
      </c>
      <c r="U15" s="42">
        <f t="shared" si="4"/>
        <v>10605</v>
      </c>
      <c r="V15" s="44"/>
      <c r="W15" s="29">
        <f t="shared" si="6"/>
        <v>343602</v>
      </c>
      <c r="X15" s="41">
        <f t="shared" si="5"/>
        <v>18.39037890841518</v>
      </c>
      <c r="Y15" s="33">
        <f t="shared" si="7"/>
        <v>24.21106651028856</v>
      </c>
      <c r="Z15" s="33">
        <v>1.33</v>
      </c>
      <c r="AA15" s="29">
        <f t="shared" si="8"/>
        <v>32.200718458683788</v>
      </c>
      <c r="AB15" s="48">
        <f t="shared" si="9"/>
        <v>70.040928445750225</v>
      </c>
      <c r="AC15" s="29">
        <v>21</v>
      </c>
      <c r="AD15" s="47">
        <f t="shared" si="10"/>
        <v>0.29982469487487479</v>
      </c>
    </row>
    <row r="16" spans="1:30" x14ac:dyDescent="0.2">
      <c r="A16" s="30" t="s">
        <v>8841</v>
      </c>
      <c r="B16" s="29">
        <v>5</v>
      </c>
      <c r="C16" s="29">
        <v>1</v>
      </c>
      <c r="D16" s="29">
        <v>38</v>
      </c>
      <c r="E16" s="29">
        <v>592</v>
      </c>
      <c r="F16" s="29">
        <v>178</v>
      </c>
      <c r="G16" s="29">
        <v>162</v>
      </c>
      <c r="H16" s="29">
        <v>398</v>
      </c>
      <c r="I16" s="29">
        <v>195</v>
      </c>
      <c r="J16" s="29">
        <v>77610</v>
      </c>
      <c r="K16" s="29">
        <v>58</v>
      </c>
      <c r="L16" s="29">
        <v>89</v>
      </c>
      <c r="N16" s="34"/>
      <c r="O16" s="29">
        <f t="shared" si="0"/>
        <v>73.5</v>
      </c>
      <c r="P16" s="32" cm="1">
        <f t="array" ref="P16">WPNFACTOR(C16)</f>
        <v>2</v>
      </c>
      <c r="Q16" s="34" cm="1">
        <f t="array" ref="Q16">HPFACTOr(C16)</f>
        <v>5</v>
      </c>
      <c r="R16" s="33">
        <f t="shared" si="1"/>
        <v>36.75</v>
      </c>
      <c r="S16" s="34">
        <f t="shared" si="2"/>
        <v>15522</v>
      </c>
      <c r="T16" s="33">
        <f t="shared" si="3"/>
        <v>36.75</v>
      </c>
      <c r="U16" s="42">
        <f t="shared" si="4"/>
        <v>15522</v>
      </c>
      <c r="V16" s="44"/>
      <c r="W16" s="29">
        <f t="shared" si="6"/>
        <v>570433.5</v>
      </c>
      <c r="X16" s="41">
        <f t="shared" si="5"/>
        <v>19.121699184242264</v>
      </c>
      <c r="Y16" s="33">
        <f t="shared" si="7"/>
        <v>27.482184799445744</v>
      </c>
      <c r="Z16" s="33">
        <v>1.33</v>
      </c>
      <c r="AA16" s="29">
        <f t="shared" si="8"/>
        <v>36.551305783262841</v>
      </c>
      <c r="AB16" s="48">
        <f t="shared" si="9"/>
        <v>82.934457377391524</v>
      </c>
      <c r="AC16" s="29">
        <v>25</v>
      </c>
      <c r="AD16" s="47">
        <f t="shared" si="10"/>
        <v>0.30144285970592438</v>
      </c>
    </row>
    <row r="17" spans="1:30" x14ac:dyDescent="0.2">
      <c r="A17" s="30" t="s">
        <v>8841</v>
      </c>
      <c r="B17" s="29">
        <v>6</v>
      </c>
      <c r="C17" s="29">
        <v>2</v>
      </c>
      <c r="D17" s="29">
        <v>44</v>
      </c>
      <c r="E17" s="29">
        <v>191</v>
      </c>
      <c r="F17" s="29">
        <v>190</v>
      </c>
      <c r="G17" s="29">
        <v>780</v>
      </c>
      <c r="H17" s="29">
        <v>411</v>
      </c>
      <c r="I17" s="29">
        <v>259</v>
      </c>
      <c r="J17" s="29">
        <v>36990</v>
      </c>
      <c r="K17" s="29">
        <v>143</v>
      </c>
      <c r="L17" s="29">
        <v>241</v>
      </c>
      <c r="N17" s="34"/>
      <c r="O17" s="29">
        <f t="shared" si="0"/>
        <v>192</v>
      </c>
      <c r="P17" s="32" cm="1">
        <f t="array" ref="P17">WPNFACTOR(C17)</f>
        <v>4.5</v>
      </c>
      <c r="Q17" s="34" cm="1">
        <f t="array" ref="Q17">HPFACTOr(C17)</f>
        <v>2</v>
      </c>
      <c r="R17" s="33">
        <f t="shared" si="1"/>
        <v>42.666666666666664</v>
      </c>
      <c r="S17" s="34">
        <f t="shared" si="2"/>
        <v>18495</v>
      </c>
      <c r="T17" s="33">
        <f t="shared" si="3"/>
        <v>42.666666666666664</v>
      </c>
      <c r="U17" s="42">
        <f t="shared" si="4"/>
        <v>18495</v>
      </c>
      <c r="V17" s="44"/>
      <c r="W17" s="29">
        <f t="shared" si="6"/>
        <v>789120</v>
      </c>
      <c r="X17" s="41">
        <f t="shared" si="5"/>
        <v>19.589885179290203</v>
      </c>
      <c r="Y17" s="33">
        <f t="shared" si="7"/>
        <v>29.804769167357154</v>
      </c>
      <c r="Z17" s="33">
        <v>1.33</v>
      </c>
      <c r="AA17" s="29">
        <f t="shared" si="8"/>
        <v>39.640342992585019</v>
      </c>
      <c r="AB17" s="48">
        <f t="shared" si="9"/>
        <v>92.409016942049291</v>
      </c>
      <c r="AC17" s="29">
        <v>26</v>
      </c>
      <c r="AD17" s="47">
        <f t="shared" si="10"/>
        <v>0.28135782481383698</v>
      </c>
    </row>
    <row r="18" spans="1:30" x14ac:dyDescent="0.2">
      <c r="A18" s="30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4"/>
      <c r="O18" s="29">
        <f t="shared" si="0"/>
        <v>95.5</v>
      </c>
      <c r="P18" s="32" cm="1">
        <f t="array" ref="P18">WPNFACTOR(C18)</f>
        <v>2</v>
      </c>
      <c r="Q18" s="34" cm="1">
        <f t="array" ref="Q18">HPFACTOr(C18)</f>
        <v>5</v>
      </c>
      <c r="R18" s="33">
        <f t="shared" si="1"/>
        <v>47.75</v>
      </c>
      <c r="S18" s="34">
        <f t="shared" si="2"/>
        <v>27587</v>
      </c>
      <c r="T18" s="33">
        <f t="shared" si="3"/>
        <v>47.75</v>
      </c>
      <c r="U18" s="42">
        <f t="shared" si="4"/>
        <v>27587</v>
      </c>
      <c r="V18" s="44"/>
      <c r="W18" s="29">
        <f t="shared" si="6"/>
        <v>1317279.25</v>
      </c>
      <c r="X18" s="41">
        <f t="shared" si="5"/>
        <v>20.329129784231188</v>
      </c>
      <c r="Y18" s="33">
        <f t="shared" si="7"/>
        <v>33.878132535401896</v>
      </c>
      <c r="Z18" s="33">
        <v>1.33</v>
      </c>
      <c r="AA18" s="29">
        <f t="shared" si="8"/>
        <v>45.057916272084526</v>
      </c>
      <c r="AB18" s="48">
        <f t="shared" si="9"/>
        <v>109.62071159407733</v>
      </c>
      <c r="AC18" s="29">
        <v>29</v>
      </c>
      <c r="AD18" s="47">
        <f t="shared" si="10"/>
        <v>0.26454854724339183</v>
      </c>
    </row>
    <row r="19" spans="1:30" x14ac:dyDescent="0.2">
      <c r="A19" s="30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4"/>
      <c r="O19" s="29">
        <f t="shared" si="0"/>
        <v>126</v>
      </c>
      <c r="P19" s="32" cm="1">
        <f t="array" ref="P19">WPNFACTOR(C19)</f>
        <v>2.5</v>
      </c>
      <c r="Q19" s="34" cm="1">
        <f t="array" ref="Q19">HPFACTOr(C19)</f>
        <v>4</v>
      </c>
      <c r="R19" s="33">
        <f t="shared" si="1"/>
        <v>50.4</v>
      </c>
      <c r="S19" s="34">
        <f t="shared" si="2"/>
        <v>38760</v>
      </c>
      <c r="T19" s="33">
        <f t="shared" si="3"/>
        <v>50.4</v>
      </c>
      <c r="U19" s="42">
        <f t="shared" si="4"/>
        <v>38760</v>
      </c>
      <c r="V19" s="44"/>
      <c r="W19" s="29">
        <f t="shared" si="6"/>
        <v>1953504</v>
      </c>
      <c r="X19" s="41">
        <f t="shared" si="5"/>
        <v>20.897632778914996</v>
      </c>
      <c r="Y19" s="33">
        <f t="shared" si="7"/>
        <v>37.385532957578249</v>
      </c>
      <c r="Z19" s="33">
        <v>1.33</v>
      </c>
      <c r="AA19" s="29">
        <f t="shared" si="8"/>
        <v>49.722758833579071</v>
      </c>
      <c r="AB19" s="48">
        <f t="shared" si="9"/>
        <v>125.00808481040869</v>
      </c>
      <c r="AC19" s="29">
        <v>29</v>
      </c>
      <c r="AD19" s="47">
        <f t="shared" si="10"/>
        <v>0.23198499556234575</v>
      </c>
    </row>
    <row r="20" spans="1:30" x14ac:dyDescent="0.2">
      <c r="A20" s="30" t="s">
        <v>8841</v>
      </c>
      <c r="B20" s="29">
        <v>9</v>
      </c>
      <c r="C20" s="29">
        <v>3</v>
      </c>
      <c r="D20" s="29">
        <v>66</v>
      </c>
      <c r="E20" s="29">
        <v>300</v>
      </c>
      <c r="F20" s="29">
        <v>1160</v>
      </c>
      <c r="G20" s="29">
        <v>290</v>
      </c>
      <c r="H20" s="29">
        <v>880</v>
      </c>
      <c r="I20" s="29">
        <v>420</v>
      </c>
      <c r="J20" s="29">
        <v>235840</v>
      </c>
      <c r="K20" s="29">
        <v>102</v>
      </c>
      <c r="L20" s="29">
        <v>175</v>
      </c>
      <c r="N20" s="34"/>
      <c r="O20" s="29">
        <f t="shared" si="0"/>
        <v>138.5</v>
      </c>
      <c r="P20" s="32" cm="1">
        <f t="array" ref="P20">WPNFACTOR(C20)</f>
        <v>2.5</v>
      </c>
      <c r="Q20" s="34" cm="1">
        <f t="array" ref="Q20">HPFACTOr(C20)</f>
        <v>4</v>
      </c>
      <c r="R20" s="33">
        <f t="shared" si="1"/>
        <v>55.4</v>
      </c>
      <c r="S20" s="34">
        <f t="shared" si="2"/>
        <v>58960</v>
      </c>
      <c r="T20" s="33">
        <f t="shared" si="3"/>
        <v>55.4</v>
      </c>
      <c r="U20" s="42">
        <f t="shared" si="4"/>
        <v>58960</v>
      </c>
      <c r="V20" s="44"/>
      <c r="W20" s="29">
        <f t="shared" si="6"/>
        <v>3266384</v>
      </c>
      <c r="X20" s="41">
        <f t="shared" si="5"/>
        <v>21.639262975144259</v>
      </c>
      <c r="Y20" s="33">
        <f t="shared" si="7"/>
        <v>42.512516147134839</v>
      </c>
      <c r="Z20" s="33">
        <v>1.33</v>
      </c>
      <c r="AA20" s="29">
        <f t="shared" si="8"/>
        <v>56.54164647568934</v>
      </c>
      <c r="AB20" s="48">
        <f t="shared" si="9"/>
        <v>148.37329675513445</v>
      </c>
      <c r="AC20" s="29">
        <v>35</v>
      </c>
      <c r="AD20" s="47">
        <f t="shared" si="10"/>
        <v>0.23589150315748328</v>
      </c>
    </row>
    <row r="21" spans="1:30" x14ac:dyDescent="0.2">
      <c r="A21" s="30" t="s">
        <v>8841</v>
      </c>
      <c r="B21" s="29">
        <v>10</v>
      </c>
      <c r="C21" s="29">
        <v>1</v>
      </c>
      <c r="D21" s="29">
        <v>70</v>
      </c>
      <c r="E21" s="29">
        <v>1240</v>
      </c>
      <c r="F21" s="29">
        <v>385</v>
      </c>
      <c r="G21" s="29">
        <v>360</v>
      </c>
      <c r="H21" s="29">
        <v>960</v>
      </c>
      <c r="I21" s="29">
        <v>340</v>
      </c>
      <c r="J21" s="29">
        <v>340800</v>
      </c>
      <c r="K21" s="29">
        <v>85</v>
      </c>
      <c r="L21" s="29">
        <v>143</v>
      </c>
      <c r="N21" s="34"/>
      <c r="O21" s="29">
        <f t="shared" si="0"/>
        <v>114</v>
      </c>
      <c r="P21" s="32" cm="1">
        <f t="array" ref="P21">WPNFACTOR(C21)</f>
        <v>2</v>
      </c>
      <c r="Q21" s="34" cm="1">
        <f t="array" ref="Q21">HPFACTOr(C21)</f>
        <v>5</v>
      </c>
      <c r="R21" s="33">
        <f t="shared" si="1"/>
        <v>57</v>
      </c>
      <c r="S21" s="34">
        <f t="shared" si="2"/>
        <v>68160</v>
      </c>
      <c r="T21" s="33">
        <f t="shared" si="3"/>
        <v>57</v>
      </c>
      <c r="U21" s="42">
        <f t="shared" si="4"/>
        <v>68160</v>
      </c>
      <c r="V21" s="44"/>
      <c r="W21" s="29">
        <f t="shared" si="6"/>
        <v>3885120</v>
      </c>
      <c r="X21" s="41">
        <f t="shared" si="5"/>
        <v>21.88952772927794</v>
      </c>
      <c r="Y21" s="33">
        <f t="shared" si="7"/>
        <v>44.396742842071276</v>
      </c>
      <c r="Z21" s="33">
        <v>1.33</v>
      </c>
      <c r="AA21" s="29">
        <f t="shared" si="8"/>
        <v>59.047667979954802</v>
      </c>
      <c r="AB21" s="48">
        <f t="shared" si="9"/>
        <v>157.20564826353703</v>
      </c>
      <c r="AC21" s="29">
        <v>38</v>
      </c>
      <c r="AD21" s="47">
        <f t="shared" si="10"/>
        <v>0.24172159473747029</v>
      </c>
    </row>
    <row r="22" spans="1:30" x14ac:dyDescent="0.2">
      <c r="A22" s="30" t="s">
        <v>8842</v>
      </c>
      <c r="B22" s="29">
        <v>1</v>
      </c>
      <c r="C22" s="29">
        <v>3</v>
      </c>
      <c r="D22" s="29">
        <v>32</v>
      </c>
      <c r="E22" s="29">
        <v>155</v>
      </c>
      <c r="F22" s="29">
        <v>486</v>
      </c>
      <c r="G22" s="29">
        <v>161</v>
      </c>
      <c r="H22" s="29">
        <v>276</v>
      </c>
      <c r="I22" s="29">
        <v>205</v>
      </c>
      <c r="J22" s="29">
        <v>36432</v>
      </c>
      <c r="K22" s="29">
        <v>58</v>
      </c>
      <c r="L22" s="29">
        <v>95</v>
      </c>
      <c r="N22" s="34"/>
      <c r="O22" s="29">
        <f t="shared" si="0"/>
        <v>76.5</v>
      </c>
      <c r="P22" s="32" cm="1">
        <f t="array" ref="P22">WPNFACTOR(C22)</f>
        <v>2.5</v>
      </c>
      <c r="Q22" s="34" cm="1">
        <f t="array" ref="Q22">HPFACTOr(C22)</f>
        <v>4</v>
      </c>
      <c r="R22" s="33">
        <f t="shared" si="1"/>
        <v>30.6</v>
      </c>
      <c r="S22" s="34">
        <f t="shared" si="2"/>
        <v>9108</v>
      </c>
      <c r="T22" s="33">
        <f t="shared" si="3"/>
        <v>30.6</v>
      </c>
      <c r="U22" s="42">
        <f t="shared" si="4"/>
        <v>9108</v>
      </c>
      <c r="V22" s="44"/>
      <c r="W22" s="29">
        <f t="shared" si="6"/>
        <v>278704.8</v>
      </c>
      <c r="X22" s="41">
        <f t="shared" si="5"/>
        <v>18.088378323941914</v>
      </c>
      <c r="Y22" s="33">
        <f t="shared" si="7"/>
        <v>22.976618434237416</v>
      </c>
      <c r="Z22" s="33">
        <v>1.33</v>
      </c>
      <c r="AA22" s="29">
        <f t="shared" si="8"/>
        <v>30.558902517535763</v>
      </c>
      <c r="AB22" s="48">
        <f t="shared" si="9"/>
        <v>65.320296811165491</v>
      </c>
      <c r="AC22" s="29">
        <v>31</v>
      </c>
      <c r="AD22" s="47">
        <f t="shared" si="10"/>
        <v>0.47458449384603885</v>
      </c>
    </row>
    <row r="23" spans="1:30" x14ac:dyDescent="0.2">
      <c r="A23" s="30" t="s">
        <v>8842</v>
      </c>
      <c r="B23" s="29">
        <v>2</v>
      </c>
      <c r="C23" s="29">
        <v>3</v>
      </c>
      <c r="D23" s="29">
        <v>36</v>
      </c>
      <c r="E23" s="29">
        <v>141</v>
      </c>
      <c r="F23" s="29">
        <v>602</v>
      </c>
      <c r="G23" s="29">
        <v>149</v>
      </c>
      <c r="H23" s="29">
        <v>344</v>
      </c>
      <c r="I23" s="29">
        <v>230</v>
      </c>
      <c r="J23" s="29">
        <v>50912</v>
      </c>
      <c r="K23" s="29">
        <v>60</v>
      </c>
      <c r="L23" s="29">
        <v>108</v>
      </c>
      <c r="N23" s="34"/>
      <c r="O23" s="29">
        <f t="shared" si="0"/>
        <v>84</v>
      </c>
      <c r="P23" s="32" cm="1">
        <f t="array" ref="P23">WPNFACTOR(C23)</f>
        <v>2.5</v>
      </c>
      <c r="Q23" s="34" cm="1">
        <f t="array" ref="Q23">HPFACTOr(C23)</f>
        <v>4</v>
      </c>
      <c r="R23" s="33">
        <f t="shared" si="1"/>
        <v>33.6</v>
      </c>
      <c r="S23" s="34">
        <f t="shared" si="2"/>
        <v>12728</v>
      </c>
      <c r="T23" s="33">
        <f t="shared" si="3"/>
        <v>33.6</v>
      </c>
      <c r="U23" s="42">
        <f t="shared" si="4"/>
        <v>12728.000000000002</v>
      </c>
      <c r="V23" s="44"/>
      <c r="W23" s="29">
        <f t="shared" si="6"/>
        <v>427660.8000000001</v>
      </c>
      <c r="X23" s="41">
        <f t="shared" si="5"/>
        <v>18.706107448222447</v>
      </c>
      <c r="Y23" s="33">
        <f t="shared" si="7"/>
        <v>25.572598553988072</v>
      </c>
      <c r="Z23" s="33">
        <v>1.33</v>
      </c>
      <c r="AA23" s="29">
        <f t="shared" si="8"/>
        <v>34.011556076804141</v>
      </c>
      <c r="AB23" s="48">
        <f t="shared" si="9"/>
        <v>75.34130666296376</v>
      </c>
      <c r="AC23" s="29">
        <v>31</v>
      </c>
      <c r="AD23" s="47">
        <f t="shared" si="10"/>
        <v>0.41146087548862442</v>
      </c>
    </row>
    <row r="24" spans="1:30" x14ac:dyDescent="0.2">
      <c r="A24" s="30" t="s">
        <v>8842</v>
      </c>
      <c r="B24" s="29">
        <v>3</v>
      </c>
      <c r="C24" s="29">
        <v>3</v>
      </c>
      <c r="D24" s="29">
        <v>42</v>
      </c>
      <c r="E24" s="29">
        <v>205</v>
      </c>
      <c r="F24" s="29">
        <v>726</v>
      </c>
      <c r="G24" s="29">
        <v>224</v>
      </c>
      <c r="H24" s="29">
        <v>403</v>
      </c>
      <c r="I24" s="29">
        <v>247</v>
      </c>
      <c r="J24" s="29">
        <v>69316</v>
      </c>
      <c r="K24" s="29">
        <v>71</v>
      </c>
      <c r="L24" s="29">
        <v>124</v>
      </c>
      <c r="N24" s="34"/>
      <c r="O24" s="29">
        <f t="shared" si="0"/>
        <v>97.5</v>
      </c>
      <c r="P24" s="32" cm="1">
        <f t="array" ref="P24">WPNFACTOR(C24)</f>
        <v>2.5</v>
      </c>
      <c r="Q24" s="34" cm="1">
        <f t="array" ref="Q24">HPFACTOr(C24)</f>
        <v>4</v>
      </c>
      <c r="R24" s="33">
        <f t="shared" si="1"/>
        <v>39</v>
      </c>
      <c r="S24" s="34">
        <f t="shared" si="2"/>
        <v>17329</v>
      </c>
      <c r="T24" s="33">
        <f t="shared" si="3"/>
        <v>39</v>
      </c>
      <c r="U24" s="42">
        <f t="shared" si="4"/>
        <v>17329</v>
      </c>
      <c r="V24" s="44"/>
      <c r="W24" s="29">
        <f t="shared" si="6"/>
        <v>675831</v>
      </c>
      <c r="X24" s="41">
        <f t="shared" si="5"/>
        <v>19.366303002092316</v>
      </c>
      <c r="Y24" s="33">
        <f t="shared" si="7"/>
        <v>28.672101618047531</v>
      </c>
      <c r="Z24" s="33">
        <v>1.33</v>
      </c>
      <c r="AA24" s="29">
        <f t="shared" si="8"/>
        <v>38.13389515200322</v>
      </c>
      <c r="AB24" s="48">
        <f t="shared" si="9"/>
        <v>87.756515291272791</v>
      </c>
      <c r="AC24" s="29">
        <v>31</v>
      </c>
      <c r="AD24" s="47">
        <f t="shared" si="10"/>
        <v>0.35325012504322728</v>
      </c>
    </row>
    <row r="25" spans="1:30" x14ac:dyDescent="0.2">
      <c r="A25" s="30" t="s">
        <v>8842</v>
      </c>
      <c r="B25" s="29">
        <v>4</v>
      </c>
      <c r="C25" s="29">
        <v>1</v>
      </c>
      <c r="D25" s="29">
        <v>46</v>
      </c>
      <c r="E25" s="29">
        <v>768</v>
      </c>
      <c r="F25" s="29">
        <v>215</v>
      </c>
      <c r="G25" s="29">
        <v>183</v>
      </c>
      <c r="H25" s="29">
        <v>539</v>
      </c>
      <c r="I25" s="29">
        <v>249</v>
      </c>
      <c r="J25" s="29">
        <v>126665</v>
      </c>
      <c r="K25" s="29">
        <v>66</v>
      </c>
      <c r="L25" s="29">
        <v>115</v>
      </c>
      <c r="N25" s="34"/>
      <c r="O25" s="29">
        <f t="shared" si="0"/>
        <v>90.5</v>
      </c>
      <c r="P25" s="32" cm="1">
        <f t="array" ref="P25">WPNFACTOR(C25)</f>
        <v>2</v>
      </c>
      <c r="Q25" s="34" cm="1">
        <f t="array" ref="Q25">HPFACTOr(C25)</f>
        <v>5</v>
      </c>
      <c r="R25" s="33">
        <f t="shared" si="1"/>
        <v>45.25</v>
      </c>
      <c r="S25" s="34">
        <f t="shared" si="2"/>
        <v>25333</v>
      </c>
      <c r="T25" s="33">
        <f t="shared" si="3"/>
        <v>45.25</v>
      </c>
      <c r="U25" s="42">
        <f t="shared" si="4"/>
        <v>25333</v>
      </c>
      <c r="V25" s="44"/>
      <c r="W25" s="29">
        <f t="shared" si="6"/>
        <v>1146318.25</v>
      </c>
      <c r="X25" s="41">
        <f t="shared" si="5"/>
        <v>20.128576201513351</v>
      </c>
      <c r="Y25" s="33">
        <f t="shared" si="7"/>
        <v>32.720979944537362</v>
      </c>
      <c r="Z25" s="33">
        <v>1.33</v>
      </c>
      <c r="AA25" s="29">
        <f t="shared" si="8"/>
        <v>43.518903326234692</v>
      </c>
      <c r="AB25" s="48">
        <f t="shared" si="9"/>
        <v>104.65702909128979</v>
      </c>
      <c r="AC25" s="29">
        <v>32</v>
      </c>
      <c r="AD25" s="47">
        <f t="shared" si="10"/>
        <v>0.30576063813245813</v>
      </c>
    </row>
    <row r="26" spans="1:30" x14ac:dyDescent="0.2">
      <c r="A26" s="30" t="s">
        <v>8842</v>
      </c>
      <c r="B26" s="29">
        <v>5</v>
      </c>
      <c r="C26" s="29">
        <v>1</v>
      </c>
      <c r="D26" s="29">
        <v>54</v>
      </c>
      <c r="E26" s="29">
        <v>920</v>
      </c>
      <c r="F26" s="29">
        <v>265</v>
      </c>
      <c r="G26" s="29">
        <v>240</v>
      </c>
      <c r="H26" s="29">
        <v>640</v>
      </c>
      <c r="I26" s="29">
        <v>260</v>
      </c>
      <c r="J26" s="29">
        <v>176000</v>
      </c>
      <c r="K26" s="29">
        <v>69</v>
      </c>
      <c r="L26" s="29">
        <v>127</v>
      </c>
      <c r="N26" s="34"/>
      <c r="O26" s="29">
        <f t="shared" si="0"/>
        <v>98</v>
      </c>
      <c r="P26" s="32" cm="1">
        <f t="array" ref="P26">WPNFACTOR(C26)</f>
        <v>2</v>
      </c>
      <c r="Q26" s="34" cm="1">
        <f t="array" ref="Q26">HPFACTOr(C26)</f>
        <v>5</v>
      </c>
      <c r="R26" s="33">
        <f t="shared" si="1"/>
        <v>49</v>
      </c>
      <c r="S26" s="34">
        <f t="shared" si="2"/>
        <v>35200</v>
      </c>
      <c r="T26" s="33">
        <f t="shared" si="3"/>
        <v>49</v>
      </c>
      <c r="U26" s="42">
        <f t="shared" si="4"/>
        <v>35200</v>
      </c>
      <c r="V26" s="44"/>
      <c r="W26" s="29">
        <f t="shared" si="6"/>
        <v>1724800</v>
      </c>
      <c r="X26" s="41">
        <f t="shared" si="5"/>
        <v>20.717997652527231</v>
      </c>
      <c r="Y26" s="33">
        <f t="shared" si="7"/>
        <v>36.239707680258128</v>
      </c>
      <c r="Z26" s="33">
        <v>1.33</v>
      </c>
      <c r="AA26" s="29">
        <f t="shared" si="8"/>
        <v>48.198811214743316</v>
      </c>
      <c r="AB26" s="48">
        <f t="shared" si="9"/>
        <v>119.92588015408876</v>
      </c>
      <c r="AC26" s="29">
        <v>32</v>
      </c>
      <c r="AD26" s="47">
        <f t="shared" si="10"/>
        <v>0.266831479234376</v>
      </c>
    </row>
    <row r="27" spans="1:30" x14ac:dyDescent="0.2">
      <c r="A27" s="30" t="s">
        <v>8842</v>
      </c>
      <c r="B27" s="29">
        <v>6</v>
      </c>
      <c r="C27" s="29">
        <v>3</v>
      </c>
      <c r="D27" s="29">
        <v>60</v>
      </c>
      <c r="E27" s="29">
        <v>270</v>
      </c>
      <c r="F27" s="29">
        <v>1040</v>
      </c>
      <c r="G27" s="29">
        <v>260</v>
      </c>
      <c r="H27" s="29">
        <v>760</v>
      </c>
      <c r="I27" s="29">
        <v>375</v>
      </c>
      <c r="J27" s="29">
        <v>185440</v>
      </c>
      <c r="K27" s="29">
        <v>97</v>
      </c>
      <c r="L27" s="29">
        <v>165</v>
      </c>
      <c r="N27" s="34"/>
      <c r="O27" s="29">
        <f t="shared" si="0"/>
        <v>131</v>
      </c>
      <c r="P27" s="32" cm="1">
        <f t="array" ref="P27">WPNFACTOR(C27)</f>
        <v>2.5</v>
      </c>
      <c r="Q27" s="34" cm="1">
        <f t="array" ref="Q27">HPFACTOr(C27)</f>
        <v>4</v>
      </c>
      <c r="R27" s="33">
        <f t="shared" si="1"/>
        <v>52.4</v>
      </c>
      <c r="S27" s="34">
        <f t="shared" si="2"/>
        <v>46360</v>
      </c>
      <c r="T27" s="33">
        <f t="shared" si="3"/>
        <v>52.4</v>
      </c>
      <c r="U27" s="42">
        <f t="shared" si="4"/>
        <v>46360</v>
      </c>
      <c r="V27" s="44"/>
      <c r="W27" s="29">
        <f t="shared" si="6"/>
        <v>2429264</v>
      </c>
      <c r="X27" s="41">
        <f t="shared" si="5"/>
        <v>21.212087852543924</v>
      </c>
      <c r="Y27" s="33">
        <f t="shared" si="7"/>
        <v>39.479230448728288</v>
      </c>
      <c r="Z27" s="33">
        <v>1.33</v>
      </c>
      <c r="AA27" s="29">
        <f t="shared" si="8"/>
        <v>52.507376496808625</v>
      </c>
      <c r="AB27" s="48">
        <f t="shared" si="9"/>
        <v>134.42856771791654</v>
      </c>
      <c r="AC27" s="29">
        <v>33</v>
      </c>
      <c r="AD27" s="47">
        <f t="shared" si="10"/>
        <v>0.24548353493765437</v>
      </c>
    </row>
    <row r="28" spans="1:30" x14ac:dyDescent="0.2">
      <c r="A28" s="30" t="s">
        <v>8842</v>
      </c>
      <c r="B28" s="29">
        <v>7</v>
      </c>
      <c r="C28" s="29">
        <v>1</v>
      </c>
      <c r="D28" s="29">
        <v>64</v>
      </c>
      <c r="E28" s="29">
        <v>1120</v>
      </c>
      <c r="F28" s="29">
        <v>340</v>
      </c>
      <c r="G28" s="29">
        <v>315</v>
      </c>
      <c r="H28" s="29">
        <v>840</v>
      </c>
      <c r="I28" s="29">
        <v>310</v>
      </c>
      <c r="J28" s="29">
        <v>273000</v>
      </c>
      <c r="K28" s="29">
        <v>79</v>
      </c>
      <c r="L28" s="29">
        <v>137</v>
      </c>
      <c r="N28" s="34"/>
      <c r="O28" s="29">
        <f t="shared" si="0"/>
        <v>108</v>
      </c>
      <c r="P28" s="32" cm="1">
        <f t="array" ref="P28">WPNFACTOR(C28)</f>
        <v>2</v>
      </c>
      <c r="Q28" s="34" cm="1">
        <f t="array" ref="Q28">HPFACTOr(C28)</f>
        <v>5</v>
      </c>
      <c r="R28" s="33">
        <f t="shared" si="1"/>
        <v>54</v>
      </c>
      <c r="S28" s="34">
        <f t="shared" si="2"/>
        <v>54600</v>
      </c>
      <c r="T28" s="33">
        <f t="shared" si="3"/>
        <v>54</v>
      </c>
      <c r="U28" s="42">
        <f t="shared" si="4"/>
        <v>54600</v>
      </c>
      <c r="V28" s="44"/>
      <c r="W28" s="29">
        <f t="shared" si="6"/>
        <v>2948400</v>
      </c>
      <c r="X28" s="41">
        <f t="shared" si="5"/>
        <v>21.491500832858048</v>
      </c>
      <c r="Y28" s="33">
        <f t="shared" si="7"/>
        <v>41.437791477713937</v>
      </c>
      <c r="Z28" s="33">
        <v>1.33</v>
      </c>
      <c r="AA28" s="29">
        <f t="shared" si="8"/>
        <v>55.112262665359538</v>
      </c>
      <c r="AB28" s="48">
        <f t="shared" si="9"/>
        <v>143.39328061510608</v>
      </c>
      <c r="AC28" s="29">
        <v>37</v>
      </c>
      <c r="AD28" s="47">
        <f t="shared" si="10"/>
        <v>0.25803161655332235</v>
      </c>
    </row>
    <row r="29" spans="1:30" x14ac:dyDescent="0.2">
      <c r="A29" s="30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4"/>
      <c r="O29" s="29">
        <f t="shared" si="0"/>
        <v>151</v>
      </c>
      <c r="P29" s="32" cm="1">
        <f t="array" ref="P29">WPNFACTOR(C29)</f>
        <v>2.5</v>
      </c>
      <c r="Q29" s="34" cm="1">
        <f t="array" ref="Q29">HPFACTOr(C29)</f>
        <v>4</v>
      </c>
      <c r="R29" s="33">
        <f t="shared" si="1"/>
        <v>60.4</v>
      </c>
      <c r="S29" s="34">
        <f t="shared" si="2"/>
        <v>83160</v>
      </c>
      <c r="T29" s="33">
        <f t="shared" si="3"/>
        <v>60.4</v>
      </c>
      <c r="U29" s="42">
        <f t="shared" si="4"/>
        <v>83160</v>
      </c>
      <c r="V29" s="44"/>
      <c r="W29" s="29">
        <f t="shared" si="6"/>
        <v>5022864</v>
      </c>
      <c r="X29" s="41">
        <f t="shared" si="5"/>
        <v>22.260078782183449</v>
      </c>
      <c r="Y29" s="33">
        <f t="shared" si="7"/>
        <v>47.341046587357205</v>
      </c>
      <c r="Z29" s="33">
        <v>1.33</v>
      </c>
      <c r="AA29" s="29">
        <f t="shared" si="8"/>
        <v>62.963591961185088</v>
      </c>
      <c r="AB29" s="48">
        <f t="shared" si="9"/>
        <v>171.25784431362979</v>
      </c>
      <c r="AC29" s="29">
        <v>39</v>
      </c>
      <c r="AD29" s="47">
        <f t="shared" si="10"/>
        <v>0.22772679497575651</v>
      </c>
    </row>
    <row r="30" spans="1:30" x14ac:dyDescent="0.2">
      <c r="A30" s="30" t="s">
        <v>8842</v>
      </c>
      <c r="B30" s="29">
        <v>9</v>
      </c>
      <c r="C30" s="29">
        <v>1</v>
      </c>
      <c r="D30" s="29">
        <v>86</v>
      </c>
      <c r="E30" s="29">
        <v>1560</v>
      </c>
      <c r="F30" s="29">
        <v>505</v>
      </c>
      <c r="G30" s="29">
        <v>480</v>
      </c>
      <c r="H30" s="29">
        <v>1280</v>
      </c>
      <c r="I30" s="29">
        <v>420</v>
      </c>
      <c r="J30" s="29">
        <v>556800</v>
      </c>
      <c r="K30" s="29">
        <v>101</v>
      </c>
      <c r="L30" s="29">
        <v>159</v>
      </c>
      <c r="N30" s="34"/>
      <c r="O30" s="29">
        <f t="shared" si="0"/>
        <v>130</v>
      </c>
      <c r="P30" s="32" cm="1">
        <f t="array" ref="P30">WPNFACTOR(C30)</f>
        <v>2</v>
      </c>
      <c r="Q30" s="34" cm="1">
        <f t="array" ref="Q30">HPFACTOr(C30)</f>
        <v>5</v>
      </c>
      <c r="R30" s="33">
        <f t="shared" si="1"/>
        <v>65</v>
      </c>
      <c r="S30" s="34">
        <f t="shared" si="2"/>
        <v>111360</v>
      </c>
      <c r="T30" s="33">
        <f t="shared" si="3"/>
        <v>65</v>
      </c>
      <c r="U30" s="42">
        <f t="shared" si="4"/>
        <v>111360</v>
      </c>
      <c r="V30" s="44"/>
      <c r="W30" s="29">
        <f t="shared" si="6"/>
        <v>7238400</v>
      </c>
      <c r="X30" s="41">
        <f t="shared" si="5"/>
        <v>22.787239403764545</v>
      </c>
      <c r="Y30" s="33">
        <f t="shared" si="7"/>
        <v>51.869330777715248</v>
      </c>
      <c r="Z30" s="33">
        <v>1.33</v>
      </c>
      <c r="AA30" s="29">
        <f t="shared" si="8"/>
        <v>68.986209934361284</v>
      </c>
      <c r="AB30" s="48">
        <f t="shared" si="9"/>
        <v>193.44055355285079</v>
      </c>
      <c r="AC30" s="29">
        <v>48</v>
      </c>
      <c r="AD30" s="47">
        <f t="shared" si="10"/>
        <v>0.24813824773762189</v>
      </c>
    </row>
    <row r="31" spans="1:30" x14ac:dyDescent="0.2">
      <c r="A31" s="30" t="s">
        <v>8842</v>
      </c>
      <c r="B31" s="29">
        <v>10</v>
      </c>
      <c r="C31" s="29">
        <v>1</v>
      </c>
      <c r="D31" s="29">
        <v>90</v>
      </c>
      <c r="E31" s="29">
        <v>1640</v>
      </c>
      <c r="F31" s="29">
        <v>535</v>
      </c>
      <c r="G31" s="29">
        <v>510</v>
      </c>
      <c r="H31" s="29">
        <v>1360</v>
      </c>
      <c r="I31" s="29">
        <v>440</v>
      </c>
      <c r="J31" s="29">
        <v>618800</v>
      </c>
      <c r="K31" s="29">
        <v>105</v>
      </c>
      <c r="L31" s="29">
        <v>163</v>
      </c>
      <c r="N31" s="34"/>
      <c r="O31" s="29">
        <f t="shared" si="0"/>
        <v>134</v>
      </c>
      <c r="P31" s="32" cm="1">
        <f t="array" ref="P31">WPNFACTOR(C31)</f>
        <v>2</v>
      </c>
      <c r="Q31" s="34" cm="1">
        <f t="array" ref="Q31">HPFACTOr(C31)</f>
        <v>5</v>
      </c>
      <c r="R31" s="33">
        <f t="shared" si="1"/>
        <v>67</v>
      </c>
      <c r="S31" s="34">
        <f t="shared" si="2"/>
        <v>123760</v>
      </c>
      <c r="T31" s="33">
        <f t="shared" si="3"/>
        <v>67</v>
      </c>
      <c r="U31" s="42">
        <f t="shared" si="4"/>
        <v>123760</v>
      </c>
      <c r="V31" s="44"/>
      <c r="W31" s="29">
        <f t="shared" si="6"/>
        <v>8291920</v>
      </c>
      <c r="X31" s="41">
        <f t="shared" si="5"/>
        <v>22.983274766794171</v>
      </c>
      <c r="Y31" s="33">
        <f t="shared" si="7"/>
        <v>53.661619545592714</v>
      </c>
      <c r="Z31" s="33">
        <v>1.33</v>
      </c>
      <c r="AA31" s="29">
        <f t="shared" si="8"/>
        <v>71.369953995638312</v>
      </c>
      <c r="AB31" s="48">
        <f t="shared" si="9"/>
        <v>202.40366296026232</v>
      </c>
      <c r="AC31" s="29">
        <v>49</v>
      </c>
      <c r="AD31" s="47">
        <f t="shared" si="10"/>
        <v>0.24209048039619774</v>
      </c>
    </row>
    <row r="32" spans="1:30" x14ac:dyDescent="0.2">
      <c r="A32" s="30" t="s">
        <v>8843</v>
      </c>
      <c r="B32" s="29">
        <v>1</v>
      </c>
      <c r="C32" s="29">
        <v>3</v>
      </c>
      <c r="D32" s="29">
        <v>52</v>
      </c>
      <c r="E32" s="29">
        <v>230</v>
      </c>
      <c r="F32" s="29">
        <v>880</v>
      </c>
      <c r="G32" s="29">
        <v>220</v>
      </c>
      <c r="H32" s="29">
        <v>601</v>
      </c>
      <c r="I32" s="29">
        <v>315</v>
      </c>
      <c r="J32" s="29">
        <v>127412</v>
      </c>
      <c r="K32" s="29">
        <v>88</v>
      </c>
      <c r="L32" s="29">
        <v>154</v>
      </c>
      <c r="N32" s="34"/>
      <c r="O32" s="29">
        <f t="shared" si="0"/>
        <v>121</v>
      </c>
      <c r="P32" s="32" cm="1">
        <f t="array" ref="P32">WPNFACTOR(C32)</f>
        <v>2.5</v>
      </c>
      <c r="Q32" s="34" cm="1">
        <f t="array" ref="Q32">HPFACTOr(C32)</f>
        <v>4</v>
      </c>
      <c r="R32" s="33">
        <f t="shared" si="1"/>
        <v>48.4</v>
      </c>
      <c r="S32" s="34">
        <f t="shared" si="2"/>
        <v>31853</v>
      </c>
      <c r="T32" s="33">
        <f t="shared" si="3"/>
        <v>48.4</v>
      </c>
      <c r="U32" s="42">
        <f t="shared" si="4"/>
        <v>31853</v>
      </c>
      <c r="V32" s="44"/>
      <c r="W32" s="29">
        <f t="shared" si="6"/>
        <v>1541685.2</v>
      </c>
      <c r="X32" s="41">
        <f t="shared" si="5"/>
        <v>20.556076777661616</v>
      </c>
      <c r="Y32" s="33">
        <f t="shared" si="7"/>
        <v>35.236999948617203</v>
      </c>
      <c r="Z32" s="33">
        <v>1.33</v>
      </c>
      <c r="AA32" s="29">
        <f t="shared" si="8"/>
        <v>46.865209931660885</v>
      </c>
      <c r="AB32" s="48">
        <f t="shared" si="9"/>
        <v>115.52214239126502</v>
      </c>
      <c r="AC32" s="29">
        <v>42</v>
      </c>
      <c r="AD32" s="47">
        <f t="shared" si="10"/>
        <v>0.36356666462909837</v>
      </c>
    </row>
    <row r="33" spans="1:30" x14ac:dyDescent="0.2">
      <c r="A33" s="30" t="s">
        <v>8843</v>
      </c>
      <c r="B33" s="29">
        <v>2</v>
      </c>
      <c r="C33" s="29">
        <v>3</v>
      </c>
      <c r="D33" s="29">
        <v>58</v>
      </c>
      <c r="E33" s="29">
        <v>260</v>
      </c>
      <c r="F33" s="29">
        <v>1000</v>
      </c>
      <c r="G33" s="29">
        <v>250</v>
      </c>
      <c r="H33" s="29">
        <v>720</v>
      </c>
      <c r="I33" s="29">
        <v>360</v>
      </c>
      <c r="J33" s="29">
        <v>169920</v>
      </c>
      <c r="K33" s="29">
        <v>94</v>
      </c>
      <c r="L33" s="29">
        <v>163</v>
      </c>
      <c r="N33" s="34"/>
      <c r="O33" s="29">
        <f t="shared" si="0"/>
        <v>128.5</v>
      </c>
      <c r="P33" s="32" cm="1">
        <f t="array" ref="P33">WPNFACTOR(C33)</f>
        <v>2.5</v>
      </c>
      <c r="Q33" s="34" cm="1">
        <f t="array" ref="Q33">HPFACTOr(C33)</f>
        <v>4</v>
      </c>
      <c r="R33" s="33">
        <f t="shared" si="1"/>
        <v>51.4</v>
      </c>
      <c r="S33" s="34">
        <f t="shared" si="2"/>
        <v>42480</v>
      </c>
      <c r="T33" s="33">
        <f t="shared" si="3"/>
        <v>51.4</v>
      </c>
      <c r="U33" s="42">
        <f t="shared" si="4"/>
        <v>42480</v>
      </c>
      <c r="V33" s="44"/>
      <c r="W33" s="29">
        <f t="shared" si="6"/>
        <v>2183472</v>
      </c>
      <c r="X33" s="41">
        <f t="shared" si="5"/>
        <v>21.058192599998034</v>
      </c>
      <c r="Y33" s="33">
        <f t="shared" si="7"/>
        <v>38.440312249086183</v>
      </c>
      <c r="Z33" s="33">
        <v>1.33</v>
      </c>
      <c r="AA33" s="29">
        <f t="shared" si="8"/>
        <v>51.125615291284625</v>
      </c>
      <c r="AB33" s="48">
        <f t="shared" si="9"/>
        <v>129.73262600515858</v>
      </c>
      <c r="AC33" s="29">
        <v>42</v>
      </c>
      <c r="AD33" s="47">
        <f t="shared" si="10"/>
        <v>0.32374277229484238</v>
      </c>
    </row>
    <row r="34" spans="1:30" x14ac:dyDescent="0.2">
      <c r="A34" s="30" t="s">
        <v>8843</v>
      </c>
      <c r="B34" s="29">
        <v>3</v>
      </c>
      <c r="C34" s="29">
        <v>1</v>
      </c>
      <c r="D34" s="29">
        <v>62</v>
      </c>
      <c r="E34" s="29">
        <v>1080</v>
      </c>
      <c r="F34" s="29">
        <v>325</v>
      </c>
      <c r="G34" s="29">
        <v>300</v>
      </c>
      <c r="H34" s="29">
        <v>800</v>
      </c>
      <c r="I34" s="29">
        <v>300</v>
      </c>
      <c r="J34" s="29">
        <v>252000</v>
      </c>
      <c r="K34" s="29">
        <v>77</v>
      </c>
      <c r="L34" s="29">
        <v>135</v>
      </c>
      <c r="N34" s="34"/>
      <c r="O34" s="29">
        <f t="shared" si="0"/>
        <v>106</v>
      </c>
      <c r="P34" s="32" cm="1">
        <f t="array" ref="P34">WPNFACTOR(C34)</f>
        <v>2</v>
      </c>
      <c r="Q34" s="34" cm="1">
        <f t="array" ref="Q34">HPFACTOr(C34)</f>
        <v>5</v>
      </c>
      <c r="R34" s="33">
        <f t="shared" si="1"/>
        <v>53</v>
      </c>
      <c r="S34" s="34">
        <f t="shared" si="2"/>
        <v>50400</v>
      </c>
      <c r="T34" s="33">
        <f t="shared" si="3"/>
        <v>53</v>
      </c>
      <c r="U34" s="42">
        <f t="shared" si="4"/>
        <v>50400</v>
      </c>
      <c r="V34" s="44"/>
      <c r="W34" s="29">
        <f t="shared" si="6"/>
        <v>2671200</v>
      </c>
      <c r="X34" s="41">
        <f t="shared" si="5"/>
        <v>21.349056567837842</v>
      </c>
      <c r="Y34" s="33">
        <f t="shared" si="7"/>
        <v>40.427473537498585</v>
      </c>
      <c r="Z34" s="33">
        <v>1.33</v>
      </c>
      <c r="AA34" s="29">
        <f t="shared" si="8"/>
        <v>53.768539804873122</v>
      </c>
      <c r="AB34" s="48">
        <f t="shared" si="9"/>
        <v>138.75079132735928</v>
      </c>
      <c r="AC34" s="29">
        <v>43</v>
      </c>
      <c r="AD34" s="47">
        <f t="shared" si="10"/>
        <v>0.30990814242312098</v>
      </c>
    </row>
    <row r="35" spans="1:30" x14ac:dyDescent="0.2">
      <c r="A35" s="30" t="s">
        <v>8843</v>
      </c>
      <c r="B35" s="29">
        <v>4</v>
      </c>
      <c r="C35" s="29">
        <v>1</v>
      </c>
      <c r="D35" s="29">
        <v>68</v>
      </c>
      <c r="E35" s="29">
        <v>1200</v>
      </c>
      <c r="F35" s="29">
        <v>370</v>
      </c>
      <c r="G35" s="29">
        <v>345</v>
      </c>
      <c r="H35" s="29">
        <v>920</v>
      </c>
      <c r="I35" s="29">
        <v>330</v>
      </c>
      <c r="J35" s="29">
        <v>317400</v>
      </c>
      <c r="K35" s="29">
        <v>83</v>
      </c>
      <c r="L35" s="29">
        <v>141</v>
      </c>
      <c r="N35" s="34"/>
      <c r="O35" s="29">
        <f t="shared" si="0"/>
        <v>112</v>
      </c>
      <c r="P35" s="32" cm="1">
        <f t="array" ref="P35">WPNFACTOR(C35)</f>
        <v>2</v>
      </c>
      <c r="Q35" s="34" cm="1">
        <f t="array" ref="Q35">HPFACTOr(C35)</f>
        <v>5</v>
      </c>
      <c r="R35" s="33">
        <f t="shared" si="1"/>
        <v>56</v>
      </c>
      <c r="S35" s="34">
        <f t="shared" si="2"/>
        <v>63480</v>
      </c>
      <c r="T35" s="33">
        <f t="shared" si="3"/>
        <v>56</v>
      </c>
      <c r="U35" s="42">
        <f t="shared" si="4"/>
        <v>63480</v>
      </c>
      <c r="V35" s="44"/>
      <c r="W35" s="29">
        <f t="shared" si="6"/>
        <v>3554880</v>
      </c>
      <c r="X35" s="41">
        <f t="shared" si="5"/>
        <v>21.761369429780149</v>
      </c>
      <c r="Y35" s="33">
        <f t="shared" si="7"/>
        <v>43.421641389249274</v>
      </c>
      <c r="Z35" s="33">
        <v>1.33</v>
      </c>
      <c r="AA35" s="29">
        <f t="shared" si="8"/>
        <v>57.750783047701539</v>
      </c>
      <c r="AB35" s="48">
        <f t="shared" si="9"/>
        <v>152.61889858567673</v>
      </c>
      <c r="AC35" s="29">
        <v>43</v>
      </c>
      <c r="AD35" s="47">
        <f>IF(AC35 = "", ,AC35/AB35)</f>
        <v>0.28174754501888105</v>
      </c>
    </row>
    <row r="36" spans="1:30" x14ac:dyDescent="0.2">
      <c r="A36" s="30" t="s">
        <v>8843</v>
      </c>
      <c r="B36" s="29">
        <v>5</v>
      </c>
      <c r="C36" s="29">
        <v>1</v>
      </c>
      <c r="D36" s="29">
        <v>74</v>
      </c>
      <c r="E36" s="29">
        <v>1320</v>
      </c>
      <c r="F36" s="29">
        <v>415</v>
      </c>
      <c r="G36" s="29">
        <v>390</v>
      </c>
      <c r="H36" s="29">
        <v>1040</v>
      </c>
      <c r="I36" s="29">
        <v>360</v>
      </c>
      <c r="J36" s="29">
        <v>390000</v>
      </c>
      <c r="K36" s="29">
        <v>89</v>
      </c>
      <c r="L36" s="29">
        <v>147</v>
      </c>
      <c r="N36" s="34"/>
      <c r="O36" s="29">
        <f t="shared" si="0"/>
        <v>118</v>
      </c>
      <c r="P36" s="32" cm="1">
        <f t="array" ref="P36">WPNFACTOR(C36)</f>
        <v>2</v>
      </c>
      <c r="Q36" s="34" cm="1">
        <f t="array" ref="Q36">HPFACTOr(C36)</f>
        <v>5</v>
      </c>
      <c r="R36" s="33">
        <f t="shared" si="1"/>
        <v>59</v>
      </c>
      <c r="S36" s="34">
        <f t="shared" si="2"/>
        <v>78000</v>
      </c>
      <c r="T36" s="33">
        <f t="shared" si="3"/>
        <v>59</v>
      </c>
      <c r="U36" s="42">
        <f t="shared" si="4"/>
        <v>78000</v>
      </c>
      <c r="V36" s="44"/>
      <c r="W36" s="29">
        <f t="shared" si="6"/>
        <v>4602000</v>
      </c>
      <c r="X36" s="41">
        <f t="shared" si="5"/>
        <v>22.133829552886176</v>
      </c>
      <c r="Y36" s="33">
        <f t="shared" si="7"/>
        <v>46.316598112212937</v>
      </c>
      <c r="Z36" s="33">
        <v>1.33</v>
      </c>
      <c r="AA36" s="29">
        <f t="shared" si="8"/>
        <v>61.601075489243208</v>
      </c>
      <c r="AB36" s="48">
        <f t="shared" si="9"/>
        <v>166.33444934099757</v>
      </c>
      <c r="AC36" s="29">
        <v>44</v>
      </c>
      <c r="AD36" s="47">
        <f>IF(AC36 = "", ,AC36/AB36)</f>
        <v>0.2645272832797062</v>
      </c>
    </row>
    <row r="37" spans="1:30" x14ac:dyDescent="0.2">
      <c r="A37" s="30" t="s">
        <v>8843</v>
      </c>
      <c r="B37" s="29">
        <v>6</v>
      </c>
      <c r="C37" s="29">
        <v>3</v>
      </c>
      <c r="D37" s="29">
        <v>82</v>
      </c>
      <c r="E37" s="29">
        <v>380</v>
      </c>
      <c r="F37" s="29">
        <v>1480</v>
      </c>
      <c r="G37" s="29">
        <v>370</v>
      </c>
      <c r="H37" s="29">
        <v>1200</v>
      </c>
      <c r="I37" s="29">
        <v>540</v>
      </c>
      <c r="J37" s="29">
        <v>398400</v>
      </c>
      <c r="K37" s="29">
        <v>118</v>
      </c>
      <c r="L37" s="29">
        <v>199</v>
      </c>
      <c r="N37" s="34"/>
      <c r="O37" s="29">
        <f t="shared" si="0"/>
        <v>158.5</v>
      </c>
      <c r="P37" s="32" cm="1">
        <f t="array" ref="P37">WPNFACTOR(C37)</f>
        <v>2.5</v>
      </c>
      <c r="Q37" s="34" cm="1">
        <f t="array" ref="Q37">HPFACTOr(C37)</f>
        <v>4</v>
      </c>
      <c r="R37" s="33">
        <f t="shared" si="1"/>
        <v>63.4</v>
      </c>
      <c r="S37" s="34">
        <f t="shared" si="2"/>
        <v>99600</v>
      </c>
      <c r="T37" s="33">
        <f t="shared" si="3"/>
        <v>63.4</v>
      </c>
      <c r="U37" s="42">
        <f t="shared" si="4"/>
        <v>99600</v>
      </c>
      <c r="V37" s="44"/>
      <c r="W37" s="29">
        <f t="shared" si="6"/>
        <v>6314640</v>
      </c>
      <c r="X37" s="41">
        <f t="shared" si="5"/>
        <v>22.590269057094851</v>
      </c>
      <c r="Y37" s="33">
        <f t="shared" si="7"/>
        <v>50.128781604081624</v>
      </c>
      <c r="Z37" s="33">
        <v>1.33</v>
      </c>
      <c r="AA37" s="29">
        <f t="shared" si="8"/>
        <v>66.67127953342856</v>
      </c>
      <c r="AB37" s="48">
        <f t="shared" si="9"/>
        <v>184.83442697377259</v>
      </c>
      <c r="AC37" s="29">
        <v>45</v>
      </c>
      <c r="AD37" s="47">
        <f t="shared" si="10"/>
        <v>0.24346113836458266</v>
      </c>
    </row>
    <row r="38" spans="1:30" x14ac:dyDescent="0.2">
      <c r="A38" s="30" t="s">
        <v>8843</v>
      </c>
      <c r="B38" s="29">
        <v>7</v>
      </c>
      <c r="C38" s="29">
        <v>1</v>
      </c>
      <c r="D38" s="29">
        <v>84</v>
      </c>
      <c r="E38" s="29">
        <v>1520</v>
      </c>
      <c r="F38" s="29">
        <v>490</v>
      </c>
      <c r="G38" s="29">
        <v>465</v>
      </c>
      <c r="H38" s="29">
        <v>1240</v>
      </c>
      <c r="I38" s="29">
        <v>410</v>
      </c>
      <c r="J38" s="29">
        <v>527000</v>
      </c>
      <c r="K38" s="29">
        <v>99</v>
      </c>
      <c r="L38" s="29">
        <v>157</v>
      </c>
      <c r="N38" s="34"/>
      <c r="O38" s="29">
        <f t="shared" si="0"/>
        <v>128</v>
      </c>
      <c r="P38" s="32" cm="1">
        <f t="array" ref="P38">WPNFACTOR(C38)</f>
        <v>2</v>
      </c>
      <c r="Q38" s="34" cm="1">
        <f t="array" ref="Q38">HPFACTOr(C38)</f>
        <v>5</v>
      </c>
      <c r="R38" s="33">
        <f t="shared" si="1"/>
        <v>64</v>
      </c>
      <c r="S38" s="34">
        <f t="shared" si="2"/>
        <v>105400</v>
      </c>
      <c r="T38" s="33">
        <f t="shared" si="3"/>
        <v>64</v>
      </c>
      <c r="U38" s="42">
        <f t="shared" si="4"/>
        <v>105400</v>
      </c>
      <c r="V38" s="44"/>
      <c r="W38" s="29">
        <f t="shared" si="6"/>
        <v>6745600</v>
      </c>
      <c r="X38" s="41">
        <f t="shared" si="5"/>
        <v>22.685515341411939</v>
      </c>
      <c r="Y38" s="33">
        <f t="shared" si="7"/>
        <v>50.963018875648132</v>
      </c>
      <c r="Z38" s="33">
        <v>1.33</v>
      </c>
      <c r="AA38" s="29">
        <f t="shared" si="8"/>
        <v>67.780815104612017</v>
      </c>
      <c r="AB38" s="48">
        <f t="shared" si="9"/>
        <v>188.94708446495179</v>
      </c>
      <c r="AC38" s="29">
        <v>46</v>
      </c>
      <c r="AD38" s="47">
        <f t="shared" si="10"/>
        <v>0.24345440486821929</v>
      </c>
    </row>
    <row r="39" spans="1:30" x14ac:dyDescent="0.2">
      <c r="A39" s="30" t="s">
        <v>8843</v>
      </c>
      <c r="B39" s="29">
        <v>8</v>
      </c>
      <c r="C39" s="29">
        <v>1</v>
      </c>
      <c r="D39" s="29">
        <v>96</v>
      </c>
      <c r="E39" s="29">
        <v>1760</v>
      </c>
      <c r="F39" s="29">
        <v>580</v>
      </c>
      <c r="G39" s="29">
        <v>555</v>
      </c>
      <c r="H39" s="29">
        <v>1480</v>
      </c>
      <c r="I39" s="29">
        <v>470</v>
      </c>
      <c r="J39" s="29">
        <v>717800</v>
      </c>
      <c r="K39" s="29">
        <v>111</v>
      </c>
      <c r="L39" s="29">
        <v>169</v>
      </c>
      <c r="N39" s="34"/>
      <c r="O39" s="29">
        <f t="shared" si="0"/>
        <v>140</v>
      </c>
      <c r="P39" s="32" cm="1">
        <f t="array" ref="P39">WPNFACTOR(C39)</f>
        <v>2</v>
      </c>
      <c r="Q39" s="34" cm="1">
        <f t="array" ref="Q39">HPFACTOr(C39)</f>
        <v>5</v>
      </c>
      <c r="R39" s="33">
        <f t="shared" si="1"/>
        <v>70</v>
      </c>
      <c r="S39" s="34">
        <f t="shared" si="2"/>
        <v>143560</v>
      </c>
      <c r="T39" s="33">
        <f t="shared" si="3"/>
        <v>70</v>
      </c>
      <c r="U39" s="42">
        <f t="shared" si="4"/>
        <v>143560</v>
      </c>
      <c r="V39" s="44"/>
      <c r="W39" s="29">
        <f t="shared" si="6"/>
        <v>10049200</v>
      </c>
      <c r="X39" s="41">
        <f t="shared" si="5"/>
        <v>23.260577319648405</v>
      </c>
      <c r="Y39" s="33">
        <f t="shared" si="7"/>
        <v>56.303173252125205</v>
      </c>
      <c r="Z39" s="33">
        <v>1.33</v>
      </c>
      <c r="AA39" s="29">
        <f t="shared" si="8"/>
        <v>74.883220425326527</v>
      </c>
      <c r="AB39" s="48">
        <f t="shared" si="9"/>
        <v>215.79621841427124</v>
      </c>
      <c r="AC39" s="29">
        <v>55</v>
      </c>
      <c r="AD39" s="47">
        <f t="shared" si="10"/>
        <v>0.25487008254433197</v>
      </c>
    </row>
    <row r="40" spans="1:30" x14ac:dyDescent="0.2">
      <c r="A40" s="30" t="s">
        <v>8843</v>
      </c>
      <c r="B40" s="29">
        <v>9</v>
      </c>
      <c r="C40" s="29">
        <v>3</v>
      </c>
      <c r="D40" s="29">
        <v>102</v>
      </c>
      <c r="E40" s="29">
        <v>480</v>
      </c>
      <c r="F40" s="29">
        <v>1880</v>
      </c>
      <c r="G40" s="29">
        <v>470</v>
      </c>
      <c r="H40" s="29">
        <v>1600</v>
      </c>
      <c r="I40" s="29">
        <v>690</v>
      </c>
      <c r="J40" s="29">
        <v>659200</v>
      </c>
      <c r="K40" s="29">
        <v>138</v>
      </c>
      <c r="L40" s="29">
        <v>229</v>
      </c>
      <c r="N40" s="34"/>
      <c r="O40" s="29">
        <f t="shared" si="0"/>
        <v>183.5</v>
      </c>
      <c r="P40" s="32" cm="1">
        <f t="array" ref="P40">WPNFACTOR(C40)</f>
        <v>2.5</v>
      </c>
      <c r="Q40" s="34" cm="1">
        <f t="array" ref="Q40">HPFACTOr(C40)</f>
        <v>4</v>
      </c>
      <c r="R40" s="33">
        <f t="shared" si="1"/>
        <v>73.400000000000006</v>
      </c>
      <c r="S40" s="34">
        <f t="shared" si="2"/>
        <v>164800</v>
      </c>
      <c r="T40" s="33">
        <f t="shared" si="3"/>
        <v>73.400000000000006</v>
      </c>
      <c r="U40" s="42">
        <f t="shared" si="4"/>
        <v>164800</v>
      </c>
      <c r="V40" s="44"/>
      <c r="W40" s="29">
        <f t="shared" si="6"/>
        <v>12096320.000000002</v>
      </c>
      <c r="X40" s="41">
        <f t="shared" si="5"/>
        <v>23.528064874913795</v>
      </c>
      <c r="Y40" s="33">
        <f t="shared" si="7"/>
        <v>58.974370900856862</v>
      </c>
      <c r="Z40" s="33">
        <v>1.33</v>
      </c>
      <c r="AA40" s="29">
        <f t="shared" si="8"/>
        <v>78.435913298139624</v>
      </c>
      <c r="AB40" s="48">
        <f t="shared" si="9"/>
        <v>229.55376618063818</v>
      </c>
      <c r="AC40" s="29">
        <v>58</v>
      </c>
      <c r="AD40" s="47">
        <f t="shared" si="10"/>
        <v>0.2526641185854438</v>
      </c>
    </row>
    <row r="41" spans="1:30" x14ac:dyDescent="0.2">
      <c r="A41" s="30" t="s">
        <v>8843</v>
      </c>
      <c r="B41" s="29">
        <v>10</v>
      </c>
      <c r="C41" s="29">
        <v>3</v>
      </c>
      <c r="D41" s="29">
        <v>110</v>
      </c>
      <c r="E41" s="29">
        <v>520</v>
      </c>
      <c r="F41" s="29">
        <v>2040</v>
      </c>
      <c r="G41" s="29">
        <v>510</v>
      </c>
      <c r="H41" s="29">
        <v>1760</v>
      </c>
      <c r="I41" s="29">
        <v>750</v>
      </c>
      <c r="J41" s="29">
        <v>781440</v>
      </c>
      <c r="K41" s="29">
        <v>146</v>
      </c>
      <c r="L41" s="29">
        <v>241</v>
      </c>
      <c r="N41" s="34"/>
      <c r="O41" s="29">
        <f t="shared" si="0"/>
        <v>193.5</v>
      </c>
      <c r="P41" s="32" cm="1">
        <f t="array" ref="P41">WPNFACTOR(C41)</f>
        <v>2.5</v>
      </c>
      <c r="Q41" s="34" cm="1">
        <f t="array" ref="Q41">HPFACTOr(C41)</f>
        <v>4</v>
      </c>
      <c r="R41" s="33">
        <f t="shared" si="1"/>
        <v>77.400000000000006</v>
      </c>
      <c r="S41" s="34">
        <f t="shared" si="2"/>
        <v>195360</v>
      </c>
      <c r="T41" s="33">
        <f t="shared" si="3"/>
        <v>77.400000000000006</v>
      </c>
      <c r="U41" s="42">
        <f t="shared" si="4"/>
        <v>195360</v>
      </c>
      <c r="V41" s="44"/>
      <c r="W41" s="29">
        <f t="shared" si="6"/>
        <v>15120864.000000002</v>
      </c>
      <c r="X41" s="41">
        <f t="shared" si="5"/>
        <v>23.850037241131815</v>
      </c>
      <c r="Y41" s="33">
        <f t="shared" si="7"/>
        <v>62.358283458331471</v>
      </c>
      <c r="Z41" s="33">
        <v>1.33</v>
      </c>
      <c r="AA41" s="29">
        <f t="shared" si="8"/>
        <v>82.93651699958086</v>
      </c>
      <c r="AB41" s="48">
        <f t="shared" si="9"/>
        <v>247.28182793914388</v>
      </c>
      <c r="AC41" s="29">
        <v>63</v>
      </c>
      <c r="AD41" s="47">
        <f t="shared" si="10"/>
        <v>0.25477003516612762</v>
      </c>
    </row>
    <row r="42" spans="1:30" x14ac:dyDescent="0.2">
      <c r="A42" s="30" t="s">
        <v>8844</v>
      </c>
      <c r="B42" s="29">
        <v>1</v>
      </c>
      <c r="C42" s="29">
        <v>3</v>
      </c>
      <c r="D42" s="29">
        <v>72</v>
      </c>
      <c r="E42" s="29">
        <v>330</v>
      </c>
      <c r="F42" s="29">
        <v>1280</v>
      </c>
      <c r="G42" s="29">
        <v>320</v>
      </c>
      <c r="H42" s="29">
        <v>1000</v>
      </c>
      <c r="I42" s="29">
        <v>465</v>
      </c>
      <c r="J42" s="29">
        <v>292000</v>
      </c>
      <c r="K42" s="29">
        <v>108</v>
      </c>
      <c r="L42" s="29">
        <v>184</v>
      </c>
      <c r="N42" s="34"/>
      <c r="O42" s="29">
        <f t="shared" si="0"/>
        <v>146</v>
      </c>
      <c r="P42" s="32" cm="1">
        <f t="array" ref="P42">WPNFACTOR(C42)</f>
        <v>2.5</v>
      </c>
      <c r="Q42" s="34" cm="1">
        <f t="array" ref="Q42">HPFACTOr(C42)</f>
        <v>4</v>
      </c>
      <c r="R42" s="33">
        <f t="shared" si="1"/>
        <v>58.4</v>
      </c>
      <c r="S42" s="34">
        <f t="shared" si="2"/>
        <v>73000</v>
      </c>
      <c r="T42" s="33">
        <f t="shared" si="3"/>
        <v>58.4</v>
      </c>
      <c r="U42" s="42">
        <f t="shared" si="4"/>
        <v>73000</v>
      </c>
      <c r="V42" s="44"/>
      <c r="W42" s="29">
        <f t="shared" si="6"/>
        <v>4263200</v>
      </c>
      <c r="X42" s="41">
        <f t="shared" si="5"/>
        <v>22.023505307534759</v>
      </c>
      <c r="Y42" s="33">
        <f t="shared" si="7"/>
        <v>45.439540062204848</v>
      </c>
      <c r="Z42" s="33">
        <v>1.33</v>
      </c>
      <c r="AA42" s="29">
        <f t="shared" si="8"/>
        <v>60.434588282732449</v>
      </c>
      <c r="AB42" s="48">
        <f t="shared" si="9"/>
        <v>162.14811429860538</v>
      </c>
      <c r="AC42" s="29">
        <v>51</v>
      </c>
      <c r="AD42" s="47">
        <f t="shared" si="10"/>
        <v>0.31452724702108142</v>
      </c>
    </row>
    <row r="43" spans="1:30" x14ac:dyDescent="0.2">
      <c r="A43" s="30" t="s">
        <v>8844</v>
      </c>
      <c r="B43" s="29">
        <v>2</v>
      </c>
      <c r="C43" s="29">
        <v>3</v>
      </c>
      <c r="D43" s="29">
        <v>78</v>
      </c>
      <c r="E43" s="29">
        <v>360</v>
      </c>
      <c r="F43" s="29">
        <v>1400</v>
      </c>
      <c r="G43" s="29">
        <v>350</v>
      </c>
      <c r="H43" s="29">
        <v>1120</v>
      </c>
      <c r="I43" s="29">
        <v>510</v>
      </c>
      <c r="J43" s="29">
        <v>353920</v>
      </c>
      <c r="K43" s="29">
        <v>114</v>
      </c>
      <c r="L43" s="29">
        <v>193</v>
      </c>
      <c r="N43" s="34"/>
      <c r="O43" s="29">
        <f t="shared" si="0"/>
        <v>153.5</v>
      </c>
      <c r="P43" s="32" cm="1">
        <f t="array" ref="P43">WPNFACTOR(C43)</f>
        <v>2.5</v>
      </c>
      <c r="Q43" s="34" cm="1">
        <f t="array" ref="Q43">HPFACTOr(C43)</f>
        <v>4</v>
      </c>
      <c r="R43" s="33">
        <f t="shared" si="1"/>
        <v>61.4</v>
      </c>
      <c r="S43" s="34">
        <f t="shared" si="2"/>
        <v>88480</v>
      </c>
      <c r="T43" s="33">
        <f t="shared" si="3"/>
        <v>61.4</v>
      </c>
      <c r="U43" s="42">
        <f t="shared" si="4"/>
        <v>88480</v>
      </c>
      <c r="V43" s="44"/>
      <c r="W43" s="29">
        <f t="shared" si="6"/>
        <v>5432672</v>
      </c>
      <c r="X43" s="41">
        <f t="shared" si="5"/>
        <v>22.373230515604885</v>
      </c>
      <c r="Y43" s="33">
        <f t="shared" si="7"/>
        <v>48.278455873285886</v>
      </c>
      <c r="Z43" s="33">
        <v>1.33</v>
      </c>
      <c r="AA43" s="29">
        <f t="shared" si="8"/>
        <v>64.210346311470232</v>
      </c>
      <c r="AB43" s="48">
        <f t="shared" si="9"/>
        <v>175.79418089105371</v>
      </c>
      <c r="AC43" s="29">
        <v>52</v>
      </c>
      <c r="AD43" s="47">
        <f t="shared" si="10"/>
        <v>0.29580046242956337</v>
      </c>
    </row>
    <row r="44" spans="1:30" x14ac:dyDescent="0.2">
      <c r="A44" s="30" t="s">
        <v>8844</v>
      </c>
      <c r="B44" s="29">
        <v>3</v>
      </c>
      <c r="C44" s="29">
        <v>3</v>
      </c>
      <c r="D44" s="29">
        <v>80</v>
      </c>
      <c r="E44" s="29">
        <v>370</v>
      </c>
      <c r="F44" s="29">
        <v>1440</v>
      </c>
      <c r="G44" s="29">
        <v>360</v>
      </c>
      <c r="H44" s="29">
        <v>1160</v>
      </c>
      <c r="I44" s="29">
        <v>525</v>
      </c>
      <c r="J44" s="29">
        <v>375840</v>
      </c>
      <c r="K44" s="29">
        <v>116</v>
      </c>
      <c r="L44" s="29">
        <v>196</v>
      </c>
      <c r="N44" s="34"/>
      <c r="O44" s="29">
        <f t="shared" si="0"/>
        <v>156</v>
      </c>
      <c r="P44" s="32" cm="1">
        <f t="array" ref="P44">WPNFACTOR(C44)</f>
        <v>2.5</v>
      </c>
      <c r="Q44" s="34" cm="1">
        <f t="array" ref="Q44">HPFACTOr(C44)</f>
        <v>4</v>
      </c>
      <c r="R44" s="33">
        <f t="shared" si="1"/>
        <v>62.4</v>
      </c>
      <c r="S44" s="34">
        <f t="shared" si="2"/>
        <v>93960</v>
      </c>
      <c r="T44" s="33">
        <f t="shared" si="3"/>
        <v>62.4</v>
      </c>
      <c r="U44" s="42">
        <f t="shared" si="4"/>
        <v>93960</v>
      </c>
      <c r="V44" s="44"/>
      <c r="W44" s="29">
        <f t="shared" si="6"/>
        <v>5863104</v>
      </c>
      <c r="X44" s="41">
        <f t="shared" si="5"/>
        <v>22.483233216874446</v>
      </c>
      <c r="Y44" s="33">
        <f t="shared" si="7"/>
        <v>49.207567789875917</v>
      </c>
      <c r="Z44" s="33">
        <v>1.33</v>
      </c>
      <c r="AA44" s="29">
        <f t="shared" si="8"/>
        <v>65.446065160534971</v>
      </c>
      <c r="AB44" s="48">
        <f t="shared" si="9"/>
        <v>180.31943279073789</v>
      </c>
      <c r="AC44" s="29">
        <v>52</v>
      </c>
      <c r="AD44" s="47">
        <f t="shared" si="10"/>
        <v>0.28837712716380604</v>
      </c>
    </row>
    <row r="45" spans="1:30" x14ac:dyDescent="0.2">
      <c r="A45" s="30" t="s">
        <v>8844</v>
      </c>
      <c r="B45" s="29">
        <v>4</v>
      </c>
      <c r="C45" s="29">
        <v>3</v>
      </c>
      <c r="D45" s="29">
        <v>88</v>
      </c>
      <c r="E45" s="29">
        <v>410</v>
      </c>
      <c r="F45" s="29">
        <v>1600</v>
      </c>
      <c r="G45" s="29">
        <v>400</v>
      </c>
      <c r="H45" s="29">
        <v>1320</v>
      </c>
      <c r="I45" s="29">
        <v>585</v>
      </c>
      <c r="J45" s="29">
        <v>469920</v>
      </c>
      <c r="K45" s="29">
        <v>125</v>
      </c>
      <c r="L45" s="29">
        <v>208</v>
      </c>
      <c r="N45" s="34"/>
      <c r="O45" s="29">
        <f t="shared" si="0"/>
        <v>166.5</v>
      </c>
      <c r="P45" s="32" cm="1">
        <f t="array" ref="P45">WPNFACTOR(C45)</f>
        <v>2.5</v>
      </c>
      <c r="Q45" s="34" cm="1">
        <f t="array" ref="Q45">HPFACTOr(C45)</f>
        <v>4</v>
      </c>
      <c r="R45" s="33">
        <f t="shared" si="1"/>
        <v>66.599999999999994</v>
      </c>
      <c r="S45" s="34">
        <f t="shared" si="2"/>
        <v>117480</v>
      </c>
      <c r="T45" s="33">
        <f t="shared" si="3"/>
        <v>66.599999999999994</v>
      </c>
      <c r="U45" s="42">
        <f t="shared" si="4"/>
        <v>117480</v>
      </c>
      <c r="V45" s="44"/>
      <c r="W45" s="29">
        <f t="shared" si="6"/>
        <v>7824167.9999999991</v>
      </c>
      <c r="X45" s="41">
        <f t="shared" si="5"/>
        <v>22.899505917396112</v>
      </c>
      <c r="Y45" s="33">
        <f t="shared" si="7"/>
        <v>52.888291978712154</v>
      </c>
      <c r="Z45" s="33">
        <v>1.33</v>
      </c>
      <c r="AA45" s="29">
        <f t="shared" si="8"/>
        <v>70.341428331687169</v>
      </c>
      <c r="AB45" s="48">
        <f t="shared" si="9"/>
        <v>198.5238652684281</v>
      </c>
      <c r="AC45" s="29">
        <v>53</v>
      </c>
      <c r="AD45" s="47">
        <f t="shared" si="10"/>
        <v>0.26697042155781947</v>
      </c>
    </row>
    <row r="46" spans="1:30" x14ac:dyDescent="0.2">
      <c r="A46" s="30" t="s">
        <v>8844</v>
      </c>
      <c r="B46" s="29">
        <v>5</v>
      </c>
      <c r="C46" s="29">
        <v>1</v>
      </c>
      <c r="D46" s="29">
        <v>94</v>
      </c>
      <c r="E46" s="29">
        <v>1720</v>
      </c>
      <c r="F46" s="29">
        <v>565</v>
      </c>
      <c r="G46" s="29">
        <v>540</v>
      </c>
      <c r="H46" s="29">
        <v>1440</v>
      </c>
      <c r="I46" s="29">
        <v>460</v>
      </c>
      <c r="J46" s="29">
        <v>684000</v>
      </c>
      <c r="K46" s="29">
        <v>109</v>
      </c>
      <c r="L46" s="29">
        <v>167</v>
      </c>
      <c r="N46" s="34"/>
      <c r="O46" s="29">
        <f t="shared" si="0"/>
        <v>138</v>
      </c>
      <c r="P46" s="32" cm="1">
        <f t="array" ref="P46">WPNFACTOR(C46)</f>
        <v>2</v>
      </c>
      <c r="Q46" s="34" cm="1">
        <f t="array" ref="Q46">HPFACTOr(C46)</f>
        <v>5</v>
      </c>
      <c r="R46" s="33">
        <f t="shared" si="1"/>
        <v>69</v>
      </c>
      <c r="S46" s="34">
        <f t="shared" si="2"/>
        <v>136800</v>
      </c>
      <c r="T46" s="33">
        <f t="shared" si="3"/>
        <v>69</v>
      </c>
      <c r="U46" s="42">
        <f t="shared" si="4"/>
        <v>136800</v>
      </c>
      <c r="V46" s="44"/>
      <c r="W46" s="29">
        <f t="shared" si="6"/>
        <v>9439200</v>
      </c>
      <c r="X46" s="41">
        <f t="shared" si="5"/>
        <v>23.170233161438791</v>
      </c>
      <c r="Y46" s="33">
        <f t="shared" si="7"/>
        <v>55.428585652875036</v>
      </c>
      <c r="Z46" s="33">
        <v>1.33</v>
      </c>
      <c r="AA46" s="29">
        <f t="shared" si="8"/>
        <v>73.720018918323802</v>
      </c>
      <c r="AB46" s="48">
        <f t="shared" si="9"/>
        <v>211.33839070339616</v>
      </c>
      <c r="AC46" s="29">
        <v>54</v>
      </c>
      <c r="AD46" s="47">
        <f t="shared" si="10"/>
        <v>0.25551439007495119</v>
      </c>
    </row>
    <row r="47" spans="1:30" x14ac:dyDescent="0.2">
      <c r="A47" s="30" t="s">
        <v>8844</v>
      </c>
      <c r="B47" s="29">
        <v>6</v>
      </c>
      <c r="C47" s="29">
        <v>3</v>
      </c>
      <c r="D47" s="29">
        <v>100</v>
      </c>
      <c r="E47" s="29">
        <v>470</v>
      </c>
      <c r="F47" s="29">
        <v>1840</v>
      </c>
      <c r="G47" s="29">
        <v>460</v>
      </c>
      <c r="H47" s="29">
        <v>1560</v>
      </c>
      <c r="I47" s="29">
        <v>675</v>
      </c>
      <c r="J47" s="29">
        <v>630240</v>
      </c>
      <c r="K47" s="29">
        <v>136</v>
      </c>
      <c r="L47" s="29">
        <v>226</v>
      </c>
      <c r="N47" s="34"/>
      <c r="O47" s="29">
        <f t="shared" si="0"/>
        <v>181</v>
      </c>
      <c r="P47" s="32" cm="1">
        <f t="array" ref="P47">WPNFACTOR(C47)</f>
        <v>2.5</v>
      </c>
      <c r="Q47" s="34" cm="1">
        <f t="array" ref="Q47">HPFACTOr(C47)</f>
        <v>4</v>
      </c>
      <c r="R47" s="33">
        <f t="shared" si="1"/>
        <v>72.400000000000006</v>
      </c>
      <c r="S47" s="34">
        <f t="shared" si="2"/>
        <v>157560</v>
      </c>
      <c r="T47" s="33">
        <f t="shared" si="3"/>
        <v>72.400000000000006</v>
      </c>
      <c r="U47" s="42">
        <f t="shared" si="4"/>
        <v>157560</v>
      </c>
      <c r="V47" s="44"/>
      <c r="W47" s="29">
        <f t="shared" si="6"/>
        <v>11407344</v>
      </c>
      <c r="X47" s="41">
        <f t="shared" si="5"/>
        <v>23.443459588697252</v>
      </c>
      <c r="Y47" s="33">
        <f t="shared" si="7"/>
        <v>58.11605613485478</v>
      </c>
      <c r="Z47" s="33">
        <v>1.33</v>
      </c>
      <c r="AA47" s="29">
        <f t="shared" si="8"/>
        <v>77.294354659356856</v>
      </c>
      <c r="AB47" s="48">
        <f t="shared" si="9"/>
        <v>225.11003013459958</v>
      </c>
      <c r="AC47" s="29">
        <v>57</v>
      </c>
      <c r="AD47" s="47">
        <f t="shared" si="10"/>
        <v>0.25320950810551668</v>
      </c>
    </row>
    <row r="48" spans="1:30" x14ac:dyDescent="0.2">
      <c r="A48" s="30" t="s">
        <v>8844</v>
      </c>
      <c r="B48" s="29">
        <v>7</v>
      </c>
      <c r="C48" s="29">
        <v>1</v>
      </c>
      <c r="D48" s="29">
        <v>108</v>
      </c>
      <c r="E48" s="29">
        <v>2000</v>
      </c>
      <c r="F48" s="29">
        <v>670</v>
      </c>
      <c r="G48" s="29">
        <v>645</v>
      </c>
      <c r="H48" s="29">
        <v>1720</v>
      </c>
      <c r="I48" s="29">
        <v>530</v>
      </c>
      <c r="J48" s="29">
        <v>937400</v>
      </c>
      <c r="K48" s="29">
        <v>123</v>
      </c>
      <c r="L48" s="29">
        <v>181</v>
      </c>
      <c r="N48" s="34"/>
      <c r="O48" s="29">
        <f t="shared" si="0"/>
        <v>152</v>
      </c>
      <c r="P48" s="32" cm="1">
        <f t="array" ref="P48">WPNFACTOR(C48)</f>
        <v>2</v>
      </c>
      <c r="Q48" s="34" cm="1">
        <f t="array" ref="Q48">HPFACTOr(C48)</f>
        <v>5</v>
      </c>
      <c r="R48" s="33">
        <f t="shared" si="1"/>
        <v>76</v>
      </c>
      <c r="S48" s="34">
        <f t="shared" si="2"/>
        <v>187480</v>
      </c>
      <c r="T48" s="33">
        <f t="shared" si="3"/>
        <v>76</v>
      </c>
      <c r="U48" s="42">
        <f t="shared" si="4"/>
        <v>187480</v>
      </c>
      <c r="V48" s="44"/>
      <c r="W48" s="29">
        <f t="shared" si="6"/>
        <v>14248480</v>
      </c>
      <c r="X48" s="41">
        <f t="shared" si="5"/>
        <v>23.764304687809975</v>
      </c>
      <c r="Y48" s="33">
        <f t="shared" si="7"/>
        <v>61.438716485193964</v>
      </c>
      <c r="Z48" s="33">
        <v>1.33</v>
      </c>
      <c r="AA48" s="29">
        <f t="shared" si="8"/>
        <v>81.713492925307975</v>
      </c>
      <c r="AB48" s="48">
        <f t="shared" si="9"/>
        <v>242.4317588831085</v>
      </c>
      <c r="AC48" s="29">
        <v>60</v>
      </c>
      <c r="AD48" s="47">
        <f t="shared" si="10"/>
        <v>0.24749232640319929</v>
      </c>
    </row>
    <row r="49" spans="1:30" x14ac:dyDescent="0.2">
      <c r="A49" s="30" t="s">
        <v>8844</v>
      </c>
      <c r="B49" s="29">
        <v>8</v>
      </c>
      <c r="C49" s="29">
        <v>2</v>
      </c>
      <c r="D49" s="29">
        <v>114</v>
      </c>
      <c r="E49" s="29">
        <v>520</v>
      </c>
      <c r="F49" s="29">
        <v>540</v>
      </c>
      <c r="G49" s="29">
        <v>2200</v>
      </c>
      <c r="H49" s="29">
        <v>1760</v>
      </c>
      <c r="I49" s="29">
        <v>775</v>
      </c>
      <c r="J49" s="29">
        <v>404800</v>
      </c>
      <c r="K49" s="29">
        <v>287</v>
      </c>
      <c r="L49" s="29">
        <v>432</v>
      </c>
      <c r="N49" s="34"/>
      <c r="O49" s="29">
        <f t="shared" si="0"/>
        <v>359.5</v>
      </c>
      <c r="P49" s="32" cm="1">
        <f t="array" ref="P49">WPNFACTOR(C49)</f>
        <v>4.5</v>
      </c>
      <c r="Q49" s="34" cm="1">
        <f t="array" ref="Q49">HPFACTOr(C49)</f>
        <v>2</v>
      </c>
      <c r="R49" s="33">
        <f t="shared" si="1"/>
        <v>79.888888888888886</v>
      </c>
      <c r="S49" s="34">
        <f t="shared" si="2"/>
        <v>202400</v>
      </c>
      <c r="T49" s="33">
        <f t="shared" si="3"/>
        <v>79.888888888888886</v>
      </c>
      <c r="U49" s="42">
        <f t="shared" si="4"/>
        <v>202400</v>
      </c>
      <c r="V49" s="44"/>
      <c r="W49" s="29">
        <f t="shared" si="6"/>
        <v>16169511.11111111</v>
      </c>
      <c r="X49" s="41">
        <f t="shared" si="5"/>
        <v>23.946772723466022</v>
      </c>
      <c r="Y49" s="33">
        <f t="shared" si="7"/>
        <v>63.412404646838795</v>
      </c>
      <c r="Z49" s="33">
        <v>1.33</v>
      </c>
      <c r="AA49" s="29">
        <f t="shared" si="8"/>
        <v>84.338498180295602</v>
      </c>
      <c r="AB49" s="48">
        <f t="shared" si="9"/>
        <v>252.87096333098481</v>
      </c>
      <c r="AC49" s="29">
        <v>61</v>
      </c>
      <c r="AD49" s="47">
        <f t="shared" si="10"/>
        <v>0.24122975290032259</v>
      </c>
    </row>
    <row r="50" spans="1:30" x14ac:dyDescent="0.2">
      <c r="A50" s="30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4"/>
      <c r="O50" s="29">
        <f t="shared" si="0"/>
        <v>166</v>
      </c>
      <c r="P50" s="32" cm="1">
        <f t="array" ref="P50">WPNFACTOR(C50)</f>
        <v>2</v>
      </c>
      <c r="Q50" s="34" cm="1">
        <f t="array" ref="Q50">HPFACTOr(C50)</f>
        <v>5</v>
      </c>
      <c r="R50" s="33">
        <f t="shared" si="1"/>
        <v>83</v>
      </c>
      <c r="S50" s="34">
        <f t="shared" si="2"/>
        <v>246000</v>
      </c>
      <c r="T50" s="33">
        <f t="shared" si="3"/>
        <v>83</v>
      </c>
      <c r="U50" s="42">
        <f t="shared" si="4"/>
        <v>246000</v>
      </c>
      <c r="V50" s="44"/>
      <c r="W50" s="29">
        <f t="shared" si="6"/>
        <v>20418000</v>
      </c>
      <c r="X50" s="41">
        <f t="shared" si="5"/>
        <v>24.283338221348252</v>
      </c>
      <c r="Y50" s="33">
        <f t="shared" si="7"/>
        <v>67.220741667949895</v>
      </c>
      <c r="Z50" s="33">
        <v>1.33</v>
      </c>
      <c r="AA50" s="29">
        <f t="shared" si="8"/>
        <v>89.403586418373365</v>
      </c>
      <c r="AB50" s="48">
        <f t="shared" si="9"/>
        <v>273.31978252604648</v>
      </c>
      <c r="AC50" s="29">
        <v>64</v>
      </c>
      <c r="AD50" s="47">
        <f t="shared" si="10"/>
        <v>0.23415795010703627</v>
      </c>
    </row>
    <row r="51" spans="1:30" x14ac:dyDescent="0.2">
      <c r="A51" s="30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4"/>
      <c r="O51" s="29">
        <f t="shared" si="0"/>
        <v>218.5</v>
      </c>
      <c r="P51" s="32" cm="1">
        <f t="array" ref="P51">WPNFACTOR(C51)</f>
        <v>2.5</v>
      </c>
      <c r="Q51" s="34" cm="1">
        <f t="array" ref="Q51">HPFACTOr(C51)</f>
        <v>4</v>
      </c>
      <c r="R51" s="33">
        <f t="shared" si="1"/>
        <v>87.4</v>
      </c>
      <c r="S51" s="34">
        <f t="shared" si="2"/>
        <v>282960</v>
      </c>
      <c r="T51" s="33">
        <f t="shared" si="3"/>
        <v>87.4</v>
      </c>
      <c r="U51" s="42">
        <f t="shared" si="4"/>
        <v>282960</v>
      </c>
      <c r="V51" s="44"/>
      <c r="W51" s="29">
        <f t="shared" si="6"/>
        <v>24730704</v>
      </c>
      <c r="X51" s="41">
        <f t="shared" si="5"/>
        <v>24.559799973201518</v>
      </c>
      <c r="Y51" s="33">
        <f t="shared" si="7"/>
        <v>70.519483027217859</v>
      </c>
      <c r="Z51" s="33">
        <v>1.33</v>
      </c>
      <c r="AA51" s="29">
        <f t="shared" si="8"/>
        <v>93.790912426199753</v>
      </c>
      <c r="AB51" s="48">
        <f t="shared" si="9"/>
        <v>291.34807959937535</v>
      </c>
      <c r="AC51" s="29">
        <v>66</v>
      </c>
      <c r="AD51" s="47">
        <f t="shared" si="10"/>
        <v>0.22653315611606148</v>
      </c>
    </row>
    <row r="52" spans="1:30" x14ac:dyDescent="0.2">
      <c r="A52" s="30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4"/>
      <c r="O52" s="29">
        <f t="shared" si="0"/>
        <v>136</v>
      </c>
      <c r="P52" s="32" cm="1">
        <f t="array" ref="P52">WPNFACTOR(C52)</f>
        <v>2</v>
      </c>
      <c r="Q52" s="34" cm="1">
        <f t="array" ref="Q52">HPFACTOr(C52)</f>
        <v>5</v>
      </c>
      <c r="R52" s="33">
        <f t="shared" si="1"/>
        <v>68</v>
      </c>
      <c r="S52" s="34">
        <f t="shared" si="2"/>
        <v>130200</v>
      </c>
      <c r="T52" s="33">
        <f t="shared" si="3"/>
        <v>68</v>
      </c>
      <c r="U52" s="42">
        <f t="shared" si="4"/>
        <v>130200</v>
      </c>
      <c r="V52" s="44"/>
      <c r="W52" s="29">
        <f t="shared" si="6"/>
        <v>8853600</v>
      </c>
      <c r="X52" s="41">
        <f t="shared" si="5"/>
        <v>23.077832764190703</v>
      </c>
      <c r="Y52" s="33">
        <f t="shared" si="7"/>
        <v>54.548143488025822</v>
      </c>
      <c r="Z52" s="33">
        <v>1.33</v>
      </c>
      <c r="AA52" s="29">
        <f t="shared" si="8"/>
        <v>72.549030839074348</v>
      </c>
      <c r="AB52" s="48">
        <f t="shared" si="9"/>
        <v>206.87434321006745</v>
      </c>
      <c r="AC52" s="29">
        <v>70</v>
      </c>
      <c r="AD52" s="47">
        <f t="shared" si="10"/>
        <v>0.33836965432160693</v>
      </c>
    </row>
    <row r="53" spans="1:30" x14ac:dyDescent="0.2">
      <c r="A53" s="30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4"/>
      <c r="O53" s="29">
        <f t="shared" si="0"/>
        <v>178.5</v>
      </c>
      <c r="P53" s="32" cm="1">
        <f t="array" ref="P53">WPNFACTOR(C53)</f>
        <v>2.5</v>
      </c>
      <c r="Q53" s="34" cm="1">
        <f t="array" ref="Q53">HPFACTOr(C53)</f>
        <v>4</v>
      </c>
      <c r="R53" s="33">
        <f t="shared" si="1"/>
        <v>71.400000000000006</v>
      </c>
      <c r="S53" s="34">
        <f t="shared" si="2"/>
        <v>150480</v>
      </c>
      <c r="T53" s="33">
        <f t="shared" si="3"/>
        <v>71.400000000000006</v>
      </c>
      <c r="U53" s="42">
        <f t="shared" si="4"/>
        <v>150480</v>
      </c>
      <c r="V53" s="44"/>
      <c r="W53" s="29">
        <f t="shared" si="6"/>
        <v>10744272</v>
      </c>
      <c r="X53" s="41">
        <f t="shared" si="5"/>
        <v>23.357064397552296</v>
      </c>
      <c r="Y53" s="33">
        <f t="shared" si="7"/>
        <v>57.252472732181865</v>
      </c>
      <c r="Z53" s="33">
        <v>1.33</v>
      </c>
      <c r="AA53" s="29">
        <f t="shared" si="8"/>
        <v>76.145788733801879</v>
      </c>
      <c r="AB53" s="48">
        <f t="shared" si="9"/>
        <v>220.66104205636296</v>
      </c>
      <c r="AC53" s="29">
        <v>70</v>
      </c>
      <c r="AD53" s="47">
        <f t="shared" si="10"/>
        <v>0.31722862970129567</v>
      </c>
    </row>
    <row r="54" spans="1:30" x14ac:dyDescent="0.2">
      <c r="A54" s="30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4"/>
      <c r="O54" s="29">
        <f t="shared" si="0"/>
        <v>337.5</v>
      </c>
      <c r="P54" s="32" cm="1">
        <f t="array" ref="P54">WPNFACTOR(C54)</f>
        <v>4.5</v>
      </c>
      <c r="Q54" s="34" cm="1">
        <f t="array" ref="Q54">HPFACTOr(C54)</f>
        <v>2</v>
      </c>
      <c r="R54" s="33">
        <f t="shared" si="1"/>
        <v>75</v>
      </c>
      <c r="S54" s="34">
        <f t="shared" si="2"/>
        <v>163800</v>
      </c>
      <c r="T54" s="33">
        <f t="shared" si="3"/>
        <v>75</v>
      </c>
      <c r="U54" s="42">
        <f t="shared" si="4"/>
        <v>163800</v>
      </c>
      <c r="V54" s="44"/>
      <c r="W54" s="29">
        <f t="shared" si="6"/>
        <v>12285000</v>
      </c>
      <c r="X54" s="41">
        <f t="shared" si="5"/>
        <v>23.550394521911617</v>
      </c>
      <c r="Y54" s="33">
        <f t="shared" si="7"/>
        <v>59.203010342924095</v>
      </c>
      <c r="Z54" s="33">
        <v>1.33</v>
      </c>
      <c r="AA54" s="29">
        <f t="shared" si="8"/>
        <v>78.740003756089052</v>
      </c>
      <c r="AB54" s="48">
        <f t="shared" si="9"/>
        <v>230.74115042943524</v>
      </c>
      <c r="AC54" s="29">
        <v>71</v>
      </c>
      <c r="AD54" s="47">
        <f t="shared" si="10"/>
        <v>0.30770410855567382</v>
      </c>
    </row>
    <row r="55" spans="1:30" x14ac:dyDescent="0.2">
      <c r="A55" s="30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4"/>
      <c r="O55" s="29">
        <f t="shared" si="0"/>
        <v>188.5</v>
      </c>
      <c r="P55" s="32" cm="1">
        <f t="array" ref="P55">WPNFACTOR(C55)</f>
        <v>2.5</v>
      </c>
      <c r="Q55" s="34" cm="1">
        <f t="array" ref="Q55">HPFACTOr(C55)</f>
        <v>4</v>
      </c>
      <c r="R55" s="33">
        <f t="shared" si="1"/>
        <v>75.400000000000006</v>
      </c>
      <c r="S55" s="34">
        <f t="shared" si="2"/>
        <v>179760</v>
      </c>
      <c r="T55" s="33">
        <f t="shared" si="3"/>
        <v>75.400000000000006</v>
      </c>
      <c r="U55" s="42">
        <f t="shared" si="4"/>
        <v>179760</v>
      </c>
      <c r="V55" s="44"/>
      <c r="W55" s="29">
        <f t="shared" si="6"/>
        <v>13553904.000000002</v>
      </c>
      <c r="X55" s="41">
        <f t="shared" si="5"/>
        <v>23.692205122448573</v>
      </c>
      <c r="Y55" s="33">
        <f t="shared" si="7"/>
        <v>60.675882454856591</v>
      </c>
      <c r="Z55" s="33">
        <v>1.33</v>
      </c>
      <c r="AA55" s="29">
        <f t="shared" si="8"/>
        <v>80.698923664959267</v>
      </c>
      <c r="AB55" s="48">
        <f t="shared" si="9"/>
        <v>238.42665272635762</v>
      </c>
      <c r="AC55" s="29">
        <v>72</v>
      </c>
      <c r="AD55" s="47">
        <f t="shared" si="10"/>
        <v>0.30197966199120546</v>
      </c>
    </row>
    <row r="56" spans="1:30" x14ac:dyDescent="0.2">
      <c r="A56" s="30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4"/>
      <c r="O56" s="29">
        <f t="shared" si="0"/>
        <v>203.5</v>
      </c>
      <c r="P56" s="32" cm="1">
        <f t="array" ref="P56">WPNFACTOR(C56)</f>
        <v>2.5</v>
      </c>
      <c r="Q56" s="34" cm="1">
        <f t="array" ref="Q56">HPFACTOr(C56)</f>
        <v>4</v>
      </c>
      <c r="R56" s="33">
        <f t="shared" si="1"/>
        <v>81.400000000000006</v>
      </c>
      <c r="S56" s="34">
        <f t="shared" si="2"/>
        <v>228480</v>
      </c>
      <c r="T56" s="33">
        <f t="shared" si="3"/>
        <v>81.400000000000006</v>
      </c>
      <c r="U56" s="42">
        <f t="shared" si="4"/>
        <v>228480</v>
      </c>
      <c r="V56" s="44"/>
      <c r="W56" s="29">
        <f t="shared" si="6"/>
        <v>18598272</v>
      </c>
      <c r="X56" s="41">
        <f t="shared" si="5"/>
        <v>24.148665248295348</v>
      </c>
      <c r="Y56" s="33">
        <f t="shared" si="7"/>
        <v>65.670171240171399</v>
      </c>
      <c r="Z56" s="33">
        <v>1.33</v>
      </c>
      <c r="AA56" s="29">
        <f t="shared" si="8"/>
        <v>87.341327749427961</v>
      </c>
      <c r="AB56" s="48">
        <f t="shared" si="9"/>
        <v>264.94610034671581</v>
      </c>
      <c r="AC56" s="29">
        <v>72</v>
      </c>
      <c r="AD56" s="47">
        <f t="shared" si="10"/>
        <v>0.27175338646531805</v>
      </c>
    </row>
    <row r="57" spans="1:30" x14ac:dyDescent="0.2">
      <c r="A57" s="30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4"/>
      <c r="O57" s="29">
        <f t="shared" si="0"/>
        <v>168</v>
      </c>
      <c r="P57" s="32" cm="1">
        <f t="array" ref="P57">WPNFACTOR(C57)</f>
        <v>2</v>
      </c>
      <c r="Q57" s="34" cm="1">
        <f t="array" ref="Q57">HPFACTOr(C57)</f>
        <v>5</v>
      </c>
      <c r="R57" s="33">
        <f t="shared" si="1"/>
        <v>84</v>
      </c>
      <c r="S57" s="34">
        <f t="shared" si="2"/>
        <v>255000</v>
      </c>
      <c r="T57" s="33">
        <f t="shared" si="3"/>
        <v>84</v>
      </c>
      <c r="U57" s="42">
        <f t="shared" si="4"/>
        <v>255000</v>
      </c>
      <c r="V57" s="44"/>
      <c r="W57" s="29">
        <f t="shared" si="6"/>
        <v>21420000</v>
      </c>
      <c r="X57" s="41">
        <f t="shared" si="5"/>
        <v>24.352455144299704</v>
      </c>
      <c r="Y57" s="33">
        <f t="shared" si="7"/>
        <v>68.030688561578231</v>
      </c>
      <c r="Z57" s="33">
        <v>1.33</v>
      </c>
      <c r="AA57" s="29">
        <f t="shared" si="8"/>
        <v>90.480815786899058</v>
      </c>
      <c r="AB57" s="48">
        <f t="shared" si="9"/>
        <v>277.71957298996642</v>
      </c>
      <c r="AC57" s="29">
        <v>74</v>
      </c>
      <c r="AD57" s="47">
        <f t="shared" si="10"/>
        <v>0.26645583241867332</v>
      </c>
    </row>
    <row r="58" spans="1:30" x14ac:dyDescent="0.2">
      <c r="A58" s="30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4"/>
      <c r="O58" s="29">
        <f t="shared" si="0"/>
        <v>216</v>
      </c>
      <c r="P58" s="32" cm="1">
        <f t="array" ref="P58">WPNFACTOR(C58)</f>
        <v>2.5</v>
      </c>
      <c r="Q58" s="34" cm="1">
        <f t="array" ref="Q58">HPFACTOr(C58)</f>
        <v>4</v>
      </c>
      <c r="R58" s="33">
        <f t="shared" si="1"/>
        <v>86.4</v>
      </c>
      <c r="S58" s="34">
        <f t="shared" si="2"/>
        <v>273480</v>
      </c>
      <c r="T58" s="33">
        <f t="shared" si="3"/>
        <v>86.4</v>
      </c>
      <c r="U58" s="42">
        <f t="shared" si="4"/>
        <v>273480</v>
      </c>
      <c r="V58" s="44"/>
      <c r="W58" s="29">
        <f t="shared" si="6"/>
        <v>23628672</v>
      </c>
      <c r="X58" s="41">
        <f t="shared" si="5"/>
        <v>24.494035212149921</v>
      </c>
      <c r="Y58" s="33">
        <f t="shared" si="7"/>
        <v>69.720393313076286</v>
      </c>
      <c r="Z58" s="33">
        <v>1.33</v>
      </c>
      <c r="AA58" s="29">
        <f t="shared" si="8"/>
        <v>92.728123106391465</v>
      </c>
      <c r="AB58" s="48">
        <f t="shared" si="9"/>
        <v>286.95454285376235</v>
      </c>
      <c r="AC58" s="29">
        <v>75</v>
      </c>
      <c r="AD58" s="47">
        <f t="shared" si="10"/>
        <v>0.26136543876993601</v>
      </c>
    </row>
    <row r="59" spans="1:30" x14ac:dyDescent="0.2">
      <c r="A59" s="30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4"/>
      <c r="O59" s="29">
        <f t="shared" si="0"/>
        <v>409.5</v>
      </c>
      <c r="P59" s="32" cm="1">
        <f t="array" ref="P59">WPNFACTOR(C59)</f>
        <v>4.5</v>
      </c>
      <c r="Q59" s="34" cm="1">
        <f t="array" ref="Q59">HPFACTOr(C59)</f>
        <v>2</v>
      </c>
      <c r="R59" s="33">
        <f t="shared" si="1"/>
        <v>91</v>
      </c>
      <c r="S59" s="34">
        <f t="shared" si="2"/>
        <v>301400</v>
      </c>
      <c r="T59" s="33">
        <f t="shared" si="3"/>
        <v>91</v>
      </c>
      <c r="U59" s="42">
        <f t="shared" si="4"/>
        <v>301400</v>
      </c>
      <c r="V59" s="44"/>
      <c r="W59" s="29">
        <f t="shared" si="6"/>
        <v>27427400</v>
      </c>
      <c r="X59" s="41">
        <f t="shared" si="5"/>
        <v>24.709114531571245</v>
      </c>
      <c r="Y59" s="33">
        <f t="shared" si="7"/>
        <v>72.367931625831034</v>
      </c>
      <c r="Z59" s="33">
        <v>1.33</v>
      </c>
      <c r="AA59" s="29">
        <f t="shared" si="8"/>
        <v>96.249349062355279</v>
      </c>
      <c r="AB59" s="48">
        <f t="shared" si="9"/>
        <v>301.57468307872244</v>
      </c>
      <c r="AC59" s="29">
        <v>76</v>
      </c>
      <c r="AD59" s="47">
        <f t="shared" si="10"/>
        <v>0.25201054420128866</v>
      </c>
    </row>
    <row r="60" spans="1:30" x14ac:dyDescent="0.2">
      <c r="A60" s="30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4"/>
      <c r="O60" s="29">
        <f t="shared" si="0"/>
        <v>236</v>
      </c>
      <c r="P60" s="32" cm="1">
        <f t="array" ref="P60">WPNFACTOR(C60)</f>
        <v>2.5</v>
      </c>
      <c r="Q60" s="34" cm="1">
        <f t="array" ref="Q60">HPFACTOr(C60)</f>
        <v>4</v>
      </c>
      <c r="R60" s="33">
        <f t="shared" si="1"/>
        <v>94.4</v>
      </c>
      <c r="S60" s="34">
        <f t="shared" si="2"/>
        <v>353800</v>
      </c>
      <c r="T60" s="33">
        <f t="shared" si="3"/>
        <v>94.4</v>
      </c>
      <c r="U60" s="42">
        <f t="shared" si="4"/>
        <v>353800</v>
      </c>
      <c r="V60" s="44"/>
      <c r="W60" s="29">
        <f t="shared" si="6"/>
        <v>33398720.000000004</v>
      </c>
      <c r="X60" s="41">
        <f t="shared" si="5"/>
        <v>24.993289476939662</v>
      </c>
      <c r="Y60" s="33">
        <f t="shared" si="7"/>
        <v>76.020803528327107</v>
      </c>
      <c r="Z60" s="33">
        <v>1.33</v>
      </c>
      <c r="AA60" s="29">
        <f t="shared" si="8"/>
        <v>101.10766869267506</v>
      </c>
      <c r="AB60" s="48">
        <f t="shared" si="9"/>
        <v>322.04009119786934</v>
      </c>
      <c r="AC60" s="29">
        <v>79</v>
      </c>
      <c r="AD60" s="47">
        <f t="shared" si="10"/>
        <v>0.24531107200395263</v>
      </c>
    </row>
    <row r="61" spans="1:30" x14ac:dyDescent="0.2">
      <c r="A61" s="30" t="s">
        <v>8845</v>
      </c>
      <c r="B61" s="29">
        <v>10</v>
      </c>
      <c r="C61" s="29">
        <v>3</v>
      </c>
      <c r="D61" s="29">
        <v>150</v>
      </c>
      <c r="E61" s="29">
        <v>720</v>
      </c>
      <c r="F61" s="29">
        <v>2840</v>
      </c>
      <c r="G61" s="29">
        <v>710</v>
      </c>
      <c r="H61" s="29">
        <v>2560</v>
      </c>
      <c r="I61" s="29">
        <v>1050</v>
      </c>
      <c r="J61" s="29">
        <v>1546240</v>
      </c>
      <c r="K61" s="29">
        <v>186</v>
      </c>
      <c r="L61" s="29">
        <v>301</v>
      </c>
      <c r="N61" s="34"/>
      <c r="O61" s="29">
        <f t="shared" si="0"/>
        <v>243.5</v>
      </c>
      <c r="P61" s="32" cm="1">
        <f t="array" ref="P61">WPNFACTOR(C61)</f>
        <v>2.5</v>
      </c>
      <c r="Q61" s="34" cm="1">
        <f t="array" ref="Q61">HPFACTOr(C61)</f>
        <v>4</v>
      </c>
      <c r="R61" s="33">
        <f t="shared" si="1"/>
        <v>97.4</v>
      </c>
      <c r="S61" s="34">
        <f t="shared" si="2"/>
        <v>386560</v>
      </c>
      <c r="T61" s="33">
        <f t="shared" si="3"/>
        <v>97.4</v>
      </c>
      <c r="U61" s="42">
        <f t="shared" si="4"/>
        <v>386560</v>
      </c>
      <c r="V61" s="44"/>
      <c r="W61" s="29">
        <f t="shared" si="6"/>
        <v>37650944</v>
      </c>
      <c r="X61" s="41">
        <f t="shared" si="5"/>
        <v>25.166182701407422</v>
      </c>
      <c r="Y61" s="33">
        <f t="shared" si="7"/>
        <v>78.332857127506969</v>
      </c>
      <c r="Z61" s="33">
        <v>1.33</v>
      </c>
      <c r="AA61" s="29">
        <f t="shared" si="8"/>
        <v>104.18269997958427</v>
      </c>
      <c r="AB61" s="48">
        <f t="shared" si="9"/>
        <v>335.16497109666642</v>
      </c>
      <c r="AC61" s="29">
        <v>88</v>
      </c>
      <c r="AD61" s="47">
        <f t="shared" si="10"/>
        <v>0.26255727056458872</v>
      </c>
    </row>
    <row r="62" spans="1:30" x14ac:dyDescent="0.2">
      <c r="A62" s="30" t="s">
        <v>8846</v>
      </c>
      <c r="B62" s="29">
        <v>1</v>
      </c>
      <c r="C62" s="29">
        <v>3</v>
      </c>
      <c r="D62" s="29">
        <v>112</v>
      </c>
      <c r="E62" s="29">
        <v>530</v>
      </c>
      <c r="F62" s="29">
        <v>2080</v>
      </c>
      <c r="G62" s="29">
        <v>520</v>
      </c>
      <c r="H62" s="29">
        <v>1800</v>
      </c>
      <c r="I62" s="29">
        <v>765</v>
      </c>
      <c r="J62" s="29">
        <v>813600</v>
      </c>
      <c r="K62" s="29">
        <v>148</v>
      </c>
      <c r="L62" s="29">
        <v>244</v>
      </c>
      <c r="N62" s="34"/>
      <c r="O62" s="29">
        <f t="shared" si="0"/>
        <v>196</v>
      </c>
      <c r="P62" s="32" cm="1">
        <f t="array" ref="P62">WPNFACTOR(C62)</f>
        <v>2.5</v>
      </c>
      <c r="Q62" s="34" cm="1">
        <f t="array" ref="Q62">HPFACTOr(C62)</f>
        <v>4</v>
      </c>
      <c r="R62" s="33">
        <f t="shared" si="1"/>
        <v>78.400000000000006</v>
      </c>
      <c r="S62" s="34">
        <f t="shared" si="2"/>
        <v>203400</v>
      </c>
      <c r="T62" s="33">
        <f t="shared" si="3"/>
        <v>78.400000000000006</v>
      </c>
      <c r="U62" s="42">
        <f t="shared" si="4"/>
        <v>203400</v>
      </c>
      <c r="V62" s="44"/>
      <c r="W62" s="29">
        <f t="shared" si="6"/>
        <v>15946560.000000002</v>
      </c>
      <c r="X62" s="41">
        <f t="shared" si="5"/>
        <v>23.926741902860069</v>
      </c>
      <c r="Y62" s="33">
        <f t="shared" si="7"/>
        <v>63.192676892703176</v>
      </c>
      <c r="Z62" s="33">
        <v>1.33</v>
      </c>
      <c r="AA62" s="29">
        <f t="shared" si="8"/>
        <v>84.046260267295224</v>
      </c>
      <c r="AB62" s="48">
        <f t="shared" si="9"/>
        <v>251.70335464045033</v>
      </c>
      <c r="AC62" s="29">
        <v>81</v>
      </c>
      <c r="AD62" s="47">
        <f t="shared" si="10"/>
        <v>0.32180739154512161</v>
      </c>
    </row>
    <row r="63" spans="1:30" x14ac:dyDescent="0.2">
      <c r="A63" s="30" t="s">
        <v>8846</v>
      </c>
      <c r="B63" s="29">
        <v>2</v>
      </c>
      <c r="C63" s="29">
        <v>3</v>
      </c>
      <c r="D63" s="29">
        <v>116</v>
      </c>
      <c r="E63" s="29">
        <v>550</v>
      </c>
      <c r="F63" s="29">
        <v>2160</v>
      </c>
      <c r="G63" s="29">
        <v>540</v>
      </c>
      <c r="H63" s="29">
        <v>1880</v>
      </c>
      <c r="I63" s="29">
        <v>795</v>
      </c>
      <c r="J63" s="29">
        <v>879840</v>
      </c>
      <c r="K63" s="29">
        <v>152</v>
      </c>
      <c r="L63" s="29">
        <v>249</v>
      </c>
      <c r="N63" s="34"/>
      <c r="O63" s="29">
        <f t="shared" si="0"/>
        <v>200.5</v>
      </c>
      <c r="P63" s="32" cm="1">
        <f t="array" ref="P63">WPNFACTOR(C63)</f>
        <v>2.5</v>
      </c>
      <c r="Q63" s="34" cm="1">
        <f t="array" ref="Q63">HPFACTOr(C63)</f>
        <v>4</v>
      </c>
      <c r="R63" s="33">
        <f t="shared" si="1"/>
        <v>80.2</v>
      </c>
      <c r="S63" s="34">
        <f t="shared" si="2"/>
        <v>219960</v>
      </c>
      <c r="T63" s="33">
        <f t="shared" si="3"/>
        <v>80.2</v>
      </c>
      <c r="U63" s="42">
        <f t="shared" si="4"/>
        <v>219960</v>
      </c>
      <c r="V63" s="44"/>
      <c r="W63" s="29">
        <f t="shared" si="6"/>
        <v>17640792</v>
      </c>
      <c r="X63" s="41">
        <f t="shared" si="5"/>
        <v>24.072411997715964</v>
      </c>
      <c r="Y63" s="33">
        <f t="shared" si="7"/>
        <v>64.808134401909797</v>
      </c>
      <c r="Z63" s="33">
        <v>1.33</v>
      </c>
      <c r="AA63" s="29">
        <f t="shared" si="8"/>
        <v>86.194818754540037</v>
      </c>
      <c r="AB63" s="48">
        <f t="shared" si="9"/>
        <v>260.31909539669033</v>
      </c>
      <c r="AC63" s="29">
        <v>82</v>
      </c>
      <c r="AD63" s="47">
        <f t="shared" si="10"/>
        <v>0.31499802146685907</v>
      </c>
    </row>
    <row r="64" spans="1:30" x14ac:dyDescent="0.2">
      <c r="A64" s="30" t="s">
        <v>8846</v>
      </c>
      <c r="B64" s="29">
        <v>3</v>
      </c>
      <c r="C64" s="29">
        <v>2</v>
      </c>
      <c r="D64" s="29">
        <v>120</v>
      </c>
      <c r="E64" s="29">
        <v>550</v>
      </c>
      <c r="F64" s="29">
        <v>570</v>
      </c>
      <c r="G64" s="29">
        <v>2320</v>
      </c>
      <c r="H64" s="29">
        <v>1880</v>
      </c>
      <c r="I64" s="29">
        <v>820</v>
      </c>
      <c r="J64" s="29">
        <v>454960</v>
      </c>
      <c r="K64" s="29">
        <v>299</v>
      </c>
      <c r="L64" s="29">
        <v>447</v>
      </c>
      <c r="N64" s="34"/>
      <c r="O64" s="29">
        <f t="shared" si="0"/>
        <v>373</v>
      </c>
      <c r="P64" s="32" cm="1">
        <f t="array" ref="P64">WPNFACTOR(C64)</f>
        <v>4.5</v>
      </c>
      <c r="Q64" s="34" cm="1">
        <f t="array" ref="Q64">HPFACTOr(C64)</f>
        <v>2</v>
      </c>
      <c r="R64" s="33">
        <f t="shared" si="1"/>
        <v>82.888888888888886</v>
      </c>
      <c r="S64" s="34">
        <f t="shared" si="2"/>
        <v>227480</v>
      </c>
      <c r="T64" s="33">
        <f t="shared" si="3"/>
        <v>82.888888888888886</v>
      </c>
      <c r="U64" s="42">
        <f t="shared" si="4"/>
        <v>227480</v>
      </c>
      <c r="V64" s="44"/>
      <c r="W64" s="29">
        <f t="shared" si="6"/>
        <v>18855564.444444444</v>
      </c>
      <c r="X64" s="41">
        <f t="shared" si="5"/>
        <v>24.168487002652522</v>
      </c>
      <c r="Y64" s="33">
        <f t="shared" si="7"/>
        <v>65.896126153605763</v>
      </c>
      <c r="Z64" s="33">
        <v>1.33</v>
      </c>
      <c r="AA64" s="29">
        <f t="shared" si="8"/>
        <v>87.641847784295663</v>
      </c>
      <c r="AB64" s="48">
        <f t="shared" si="9"/>
        <v>266.16228270065216</v>
      </c>
      <c r="AC64" s="29">
        <v>83</v>
      </c>
      <c r="AD64" s="47">
        <f t="shared" si="10"/>
        <v>0.31183982628127888</v>
      </c>
    </row>
    <row r="65" spans="1:30" x14ac:dyDescent="0.2">
      <c r="A65" s="30" t="s">
        <v>8846</v>
      </c>
      <c r="B65" s="29">
        <v>4</v>
      </c>
      <c r="C65" s="29">
        <v>1</v>
      </c>
      <c r="D65" s="29">
        <v>126</v>
      </c>
      <c r="E65" s="29">
        <v>2360</v>
      </c>
      <c r="F65" s="29">
        <v>805</v>
      </c>
      <c r="G65" s="29">
        <v>780</v>
      </c>
      <c r="H65" s="29">
        <v>2080</v>
      </c>
      <c r="I65" s="29">
        <v>620</v>
      </c>
      <c r="J65" s="29">
        <v>1320800</v>
      </c>
      <c r="K65" s="29">
        <v>141</v>
      </c>
      <c r="L65" s="29">
        <v>199</v>
      </c>
      <c r="N65" s="34"/>
      <c r="O65" s="29">
        <f t="shared" si="0"/>
        <v>170</v>
      </c>
      <c r="P65" s="32" cm="1">
        <f t="array" ref="P65">WPNFACTOR(C65)</f>
        <v>2</v>
      </c>
      <c r="Q65" s="34" cm="1">
        <f t="array" ref="Q65">HPFACTOr(C65)</f>
        <v>5</v>
      </c>
      <c r="R65" s="33">
        <f t="shared" si="1"/>
        <v>85</v>
      </c>
      <c r="S65" s="34">
        <f t="shared" si="2"/>
        <v>264160</v>
      </c>
      <c r="T65" s="33">
        <f t="shared" si="3"/>
        <v>85</v>
      </c>
      <c r="U65" s="42">
        <f t="shared" si="4"/>
        <v>264160</v>
      </c>
      <c r="V65" s="44"/>
      <c r="W65" s="29">
        <f t="shared" si="6"/>
        <v>22453600</v>
      </c>
      <c r="X65" s="41">
        <f t="shared" si="5"/>
        <v>24.420443435938324</v>
      </c>
      <c r="Y65" s="33">
        <f t="shared" si="7"/>
        <v>68.836930325405135</v>
      </c>
      <c r="Z65" s="33">
        <v>1.33</v>
      </c>
      <c r="AA65" s="29">
        <f t="shared" si="8"/>
        <v>91.55311733278883</v>
      </c>
      <c r="AB65" s="48">
        <f t="shared" si="9"/>
        <v>282.1166125701692</v>
      </c>
      <c r="AC65" s="29">
        <v>83</v>
      </c>
      <c r="AD65" s="47">
        <f t="shared" si="10"/>
        <v>0.29420458172896818</v>
      </c>
    </row>
    <row r="66" spans="1:30" x14ac:dyDescent="0.2">
      <c r="A66" s="30" t="s">
        <v>8846</v>
      </c>
      <c r="B66" s="29">
        <v>5</v>
      </c>
      <c r="C66" s="29">
        <v>1</v>
      </c>
      <c r="D66" s="29">
        <v>134</v>
      </c>
      <c r="E66" s="29">
        <v>2520</v>
      </c>
      <c r="F66" s="29">
        <v>865</v>
      </c>
      <c r="G66" s="29">
        <v>840</v>
      </c>
      <c r="H66" s="29">
        <v>2240</v>
      </c>
      <c r="I66" s="29">
        <v>660</v>
      </c>
      <c r="J66" s="29">
        <v>1512000</v>
      </c>
      <c r="K66" s="29">
        <v>149</v>
      </c>
      <c r="L66" s="29">
        <v>207</v>
      </c>
      <c r="N66" s="34"/>
      <c r="O66" s="29">
        <f t="shared" ref="O66:O130" si="11">AVERAGE(K66, L66)</f>
        <v>178</v>
      </c>
      <c r="P66" s="32" cm="1">
        <f t="array" ref="P66">WPNFACTOR(C66)</f>
        <v>2</v>
      </c>
      <c r="Q66" s="34" cm="1">
        <f t="array" ref="Q66">HPFACTOr(C66)</f>
        <v>5</v>
      </c>
      <c r="R66" s="33">
        <f t="shared" ref="R66:R130" si="12">O66/P66</f>
        <v>89</v>
      </c>
      <c r="S66" s="34">
        <f t="shared" ref="S66:S130" si="13">J66/Q66</f>
        <v>302400</v>
      </c>
      <c r="T66" s="33">
        <f t="shared" ref="T66:T130" si="14">R66*(1 + (N66/400))</f>
        <v>89</v>
      </c>
      <c r="U66" s="42">
        <f t="shared" ref="U66:U130" si="15">S66*1.6/(1 + (0.6*(1 - (M66/100))))</f>
        <v>302400</v>
      </c>
      <c r="V66" s="44"/>
      <c r="W66" s="29">
        <f t="shared" si="6"/>
        <v>26913600</v>
      </c>
      <c r="X66" s="41">
        <f t="shared" ref="X66:X130" si="16">LOG(W66, 2)</f>
        <v>24.681832044962196</v>
      </c>
      <c r="Y66" s="33">
        <f t="shared" si="7"/>
        <v>72.02660561967464</v>
      </c>
      <c r="Z66" s="33">
        <v>1.33</v>
      </c>
      <c r="AA66" s="29">
        <f t="shared" si="8"/>
        <v>95.795385474167276</v>
      </c>
      <c r="AB66" s="48">
        <f t="shared" si="9"/>
        <v>299.67965805855397</v>
      </c>
      <c r="AC66" s="29">
        <v>84</v>
      </c>
      <c r="AD66" s="47">
        <f t="shared" si="10"/>
        <v>0.28029930541227249</v>
      </c>
    </row>
    <row r="67" spans="1:30" x14ac:dyDescent="0.2">
      <c r="A67" s="30" t="s">
        <v>8846</v>
      </c>
      <c r="B67" s="29">
        <v>6</v>
      </c>
      <c r="C67" s="29">
        <v>1</v>
      </c>
      <c r="D67" s="29">
        <v>138</v>
      </c>
      <c r="E67" s="29">
        <v>2600</v>
      </c>
      <c r="F67" s="29">
        <v>895</v>
      </c>
      <c r="G67" s="29">
        <v>870</v>
      </c>
      <c r="H67" s="29">
        <v>2320</v>
      </c>
      <c r="I67" s="29">
        <v>680</v>
      </c>
      <c r="J67" s="29">
        <v>1612400</v>
      </c>
      <c r="K67" s="29">
        <v>153</v>
      </c>
      <c r="L67" s="29">
        <v>211</v>
      </c>
      <c r="N67" s="34"/>
      <c r="O67" s="29">
        <f t="shared" si="11"/>
        <v>182</v>
      </c>
      <c r="P67" s="32" cm="1">
        <f t="array" ref="P67">WPNFACTOR(C67)</f>
        <v>2</v>
      </c>
      <c r="Q67" s="34" cm="1">
        <f t="array" ref="Q67">HPFACTOr(C67)</f>
        <v>5</v>
      </c>
      <c r="R67" s="33">
        <f t="shared" si="12"/>
        <v>91</v>
      </c>
      <c r="S67" s="34">
        <f t="shared" si="13"/>
        <v>322480</v>
      </c>
      <c r="T67" s="33">
        <f t="shared" si="14"/>
        <v>91</v>
      </c>
      <c r="U67" s="42">
        <f t="shared" si="15"/>
        <v>322480</v>
      </c>
      <c r="V67" s="44"/>
      <c r="W67" s="29">
        <f t="shared" ref="W67:W131" si="17">T67*U67</f>
        <v>29345680</v>
      </c>
      <c r="X67" s="41">
        <f t="shared" si="16"/>
        <v>24.806644802937139</v>
      </c>
      <c r="Y67" s="33">
        <f t="shared" ref="Y67:Y131" si="18">POWER(W67, 1/4)</f>
        <v>73.601394758397305</v>
      </c>
      <c r="Z67" s="33">
        <v>1.33</v>
      </c>
      <c r="AA67" s="29">
        <f t="shared" ref="AA67:AA131" si="19">Y67*Z67</f>
        <v>97.889855028668421</v>
      </c>
      <c r="AB67" s="48">
        <f t="shared" ref="AB67:AB131" si="20">POWER(W67, 1/$AB$1)</f>
        <v>308.44759793862551</v>
      </c>
      <c r="AC67" s="29">
        <v>86</v>
      </c>
      <c r="AD67" s="47">
        <f t="shared" ref="AD67:AD131" si="21">IF(AC67 = "", ,AC67/AB67)</f>
        <v>0.27881559323121125</v>
      </c>
    </row>
    <row r="68" spans="1:30" x14ac:dyDescent="0.2">
      <c r="A68" s="30" t="s">
        <v>8846</v>
      </c>
      <c r="B68" s="29">
        <v>7</v>
      </c>
      <c r="C68" s="29">
        <v>2</v>
      </c>
      <c r="D68" s="29">
        <v>142</v>
      </c>
      <c r="E68" s="29">
        <v>660</v>
      </c>
      <c r="F68" s="29">
        <v>680</v>
      </c>
      <c r="G68" s="29">
        <v>2760</v>
      </c>
      <c r="H68" s="29">
        <v>2320</v>
      </c>
      <c r="I68" s="29">
        <v>985</v>
      </c>
      <c r="J68" s="29">
        <v>663520</v>
      </c>
      <c r="K68" s="29">
        <v>343</v>
      </c>
      <c r="L68" s="29">
        <v>496</v>
      </c>
      <c r="N68" s="34"/>
      <c r="O68" s="29">
        <f t="shared" si="11"/>
        <v>419.5</v>
      </c>
      <c r="P68" s="32" cm="1">
        <f t="array" ref="P68">WPNFACTOR(C68)</f>
        <v>4.5</v>
      </c>
      <c r="Q68" s="34" cm="1">
        <f t="array" ref="Q68">HPFACTOr(C68)</f>
        <v>2</v>
      </c>
      <c r="R68" s="33">
        <f t="shared" si="12"/>
        <v>93.222222222222229</v>
      </c>
      <c r="S68" s="34">
        <f t="shared" si="13"/>
        <v>331760</v>
      </c>
      <c r="T68" s="33">
        <f t="shared" si="14"/>
        <v>93.222222222222229</v>
      </c>
      <c r="U68" s="42">
        <f t="shared" si="15"/>
        <v>331760</v>
      </c>
      <c r="V68" s="44"/>
      <c r="W68" s="29">
        <f t="shared" si="17"/>
        <v>30927404.444444448</v>
      </c>
      <c r="X68" s="41">
        <f t="shared" si="16"/>
        <v>24.882382425790837</v>
      </c>
      <c r="Y68" s="33">
        <f t="shared" si="18"/>
        <v>74.573730417071886</v>
      </c>
      <c r="Z68" s="33">
        <v>1.33</v>
      </c>
      <c r="AA68" s="29">
        <f t="shared" si="19"/>
        <v>99.183061454705609</v>
      </c>
      <c r="AB68" s="48">
        <f t="shared" si="20"/>
        <v>313.89265822723002</v>
      </c>
      <c r="AC68" s="29">
        <v>87</v>
      </c>
      <c r="AD68" s="47">
        <f t="shared" si="21"/>
        <v>0.27716481325606485</v>
      </c>
    </row>
    <row r="69" spans="1:30" x14ac:dyDescent="0.2">
      <c r="A69" s="30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4"/>
      <c r="O69" s="29">
        <f t="shared" si="11"/>
        <v>190</v>
      </c>
      <c r="P69" s="32" cm="1">
        <f t="array" ref="P69">WPNFACTOR(C69)</f>
        <v>2</v>
      </c>
      <c r="Q69" s="34" cm="1">
        <f t="array" ref="Q69">HPFACTOr(C69)</f>
        <v>5</v>
      </c>
      <c r="R69" s="33">
        <f t="shared" si="12"/>
        <v>95</v>
      </c>
      <c r="S69" s="34">
        <f t="shared" si="13"/>
        <v>364560</v>
      </c>
      <c r="T69" s="33">
        <f t="shared" si="14"/>
        <v>95</v>
      </c>
      <c r="U69" s="42">
        <f t="shared" si="15"/>
        <v>364560</v>
      </c>
      <c r="V69" s="44"/>
      <c r="W69" s="29">
        <f t="shared" si="17"/>
        <v>34633200</v>
      </c>
      <c r="X69" s="41">
        <f t="shared" si="16"/>
        <v>25.045652358441551</v>
      </c>
      <c r="Y69" s="33">
        <f t="shared" si="18"/>
        <v>76.713739812079552</v>
      </c>
      <c r="Z69" s="33">
        <v>1.33</v>
      </c>
      <c r="AA69" s="29">
        <f t="shared" si="19"/>
        <v>102.02927395006581</v>
      </c>
      <c r="AB69" s="48">
        <f t="shared" si="20"/>
        <v>325.95992331055766</v>
      </c>
      <c r="AC69" s="29">
        <v>90</v>
      </c>
      <c r="AD69" s="47">
        <f t="shared" si="21"/>
        <v>0.27610756281302928</v>
      </c>
    </row>
    <row r="70" spans="1:30" x14ac:dyDescent="0.2">
      <c r="A70" s="30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4"/>
      <c r="O70" s="29">
        <f t="shared" si="11"/>
        <v>192</v>
      </c>
      <c r="P70" s="32" cm="1">
        <f t="array" ref="P70">WPNFACTOR(C70)</f>
        <v>2</v>
      </c>
      <c r="Q70" s="34" cm="1">
        <f t="array" ref="Q70">HPFACTOr(C70)</f>
        <v>5</v>
      </c>
      <c r="R70" s="33">
        <f t="shared" si="12"/>
        <v>96</v>
      </c>
      <c r="S70" s="34">
        <f t="shared" si="13"/>
        <v>375480</v>
      </c>
      <c r="T70" s="33">
        <f t="shared" si="14"/>
        <v>96</v>
      </c>
      <c r="U70" s="42">
        <f t="shared" si="15"/>
        <v>375480</v>
      </c>
      <c r="V70" s="44"/>
      <c r="W70" s="29">
        <f t="shared" si="17"/>
        <v>36046080</v>
      </c>
      <c r="X70" s="41">
        <f t="shared" si="16"/>
        <v>25.103339039570599</v>
      </c>
      <c r="Y70" s="33">
        <f t="shared" si="18"/>
        <v>77.484442128635138</v>
      </c>
      <c r="Z70" s="33">
        <v>1.33</v>
      </c>
      <c r="AA70" s="29">
        <f t="shared" si="19"/>
        <v>103.05430803108474</v>
      </c>
      <c r="AB70" s="48">
        <f t="shared" si="20"/>
        <v>330.33354705170586</v>
      </c>
      <c r="AC70" s="29">
        <v>91</v>
      </c>
      <c r="AD70" s="47">
        <f t="shared" si="21"/>
        <v>0.27547913559550197</v>
      </c>
    </row>
    <row r="71" spans="1:30" x14ac:dyDescent="0.2">
      <c r="A71" s="30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4"/>
      <c r="O71" s="29">
        <f t="shared" si="11"/>
        <v>214</v>
      </c>
      <c r="P71" s="32" cm="1">
        <f t="array" ref="P71">WPNFACTOR(C71)</f>
        <v>2</v>
      </c>
      <c r="Q71" s="34" cm="1">
        <f t="array" ref="Q71">HPFACTOr(C71)</f>
        <v>5</v>
      </c>
      <c r="R71" s="33">
        <f t="shared" si="12"/>
        <v>107</v>
      </c>
      <c r="S71" s="34">
        <f t="shared" si="13"/>
        <v>506160</v>
      </c>
      <c r="T71" s="33">
        <f t="shared" si="14"/>
        <v>107</v>
      </c>
      <c r="U71" s="42">
        <f t="shared" si="15"/>
        <v>506160</v>
      </c>
      <c r="V71" s="44"/>
      <c r="W71" s="29">
        <f t="shared" si="17"/>
        <v>54159120</v>
      </c>
      <c r="X71" s="41">
        <f t="shared" si="16"/>
        <v>25.690700961803362</v>
      </c>
      <c r="Y71" s="33">
        <f t="shared" si="18"/>
        <v>85.786292664038186</v>
      </c>
      <c r="Z71" s="33">
        <v>1.33</v>
      </c>
      <c r="AA71" s="29">
        <f t="shared" si="19"/>
        <v>114.09576924317079</v>
      </c>
      <c r="AB71" s="48">
        <f t="shared" si="20"/>
        <v>378.34720764366779</v>
      </c>
      <c r="AC71" s="29">
        <v>92</v>
      </c>
      <c r="AD71" s="47">
        <f t="shared" si="21"/>
        <v>0.24316288885273543</v>
      </c>
    </row>
    <row r="72" spans="1:30" x14ac:dyDescent="0.2">
      <c r="A72" s="30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4"/>
      <c r="O72" s="29">
        <f t="shared" si="11"/>
        <v>175.5</v>
      </c>
      <c r="P72" s="32" cm="1">
        <f t="array" ref="P72">WPNFACTOR(C72)</f>
        <v>2</v>
      </c>
      <c r="Q72" s="34" cm="1">
        <f t="array" ref="Q72">HPFACTOr(C72)</f>
        <v>5</v>
      </c>
      <c r="R72" s="33">
        <f t="shared" si="12"/>
        <v>87.75</v>
      </c>
      <c r="S72" s="34">
        <f t="shared" si="13"/>
        <v>292600</v>
      </c>
      <c r="T72" s="33">
        <f t="shared" si="14"/>
        <v>87.75</v>
      </c>
      <c r="U72" s="42">
        <f t="shared" si="15"/>
        <v>292600</v>
      </c>
      <c r="V72" s="44"/>
      <c r="W72" s="29">
        <f t="shared" si="17"/>
        <v>25675650</v>
      </c>
      <c r="X72" s="41">
        <f t="shared" si="16"/>
        <v>24.613897464217771</v>
      </c>
      <c r="Y72" s="33">
        <f t="shared" si="18"/>
        <v>71.183667814577603</v>
      </c>
      <c r="Z72" s="33">
        <v>1.33</v>
      </c>
      <c r="AA72" s="29">
        <f t="shared" si="19"/>
        <v>94.674278193388218</v>
      </c>
      <c r="AB72" s="48">
        <f t="shared" si="20"/>
        <v>295.01254375465658</v>
      </c>
      <c r="AC72" s="29">
        <v>95</v>
      </c>
      <c r="AD72" s="47">
        <f t="shared" si="21"/>
        <v>0.32202020561880085</v>
      </c>
    </row>
    <row r="73" spans="1:30" x14ac:dyDescent="0.2">
      <c r="A73" s="30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4"/>
      <c r="O73" s="29">
        <f t="shared" si="11"/>
        <v>231</v>
      </c>
      <c r="P73" s="32" cm="1">
        <f t="array" ref="P73">WPNFACTOR(C73)</f>
        <v>2.5</v>
      </c>
      <c r="Q73" s="34" cm="1">
        <f t="array" ref="Q73">HPFACTOr(C73)</f>
        <v>4</v>
      </c>
      <c r="R73" s="33">
        <f t="shared" si="12"/>
        <v>92.4</v>
      </c>
      <c r="S73" s="34">
        <f t="shared" si="13"/>
        <v>332760</v>
      </c>
      <c r="T73" s="33">
        <f t="shared" si="14"/>
        <v>92.4</v>
      </c>
      <c r="U73" s="42">
        <f t="shared" si="15"/>
        <v>332760</v>
      </c>
      <c r="V73" s="44"/>
      <c r="W73" s="29">
        <f t="shared" si="17"/>
        <v>30747024.000000004</v>
      </c>
      <c r="X73" s="41">
        <f t="shared" si="16"/>
        <v>24.873943443176692</v>
      </c>
      <c r="Y73" s="33">
        <f t="shared" si="18"/>
        <v>74.464756159062745</v>
      </c>
      <c r="Z73" s="33">
        <v>1.33</v>
      </c>
      <c r="AA73" s="29">
        <f t="shared" si="19"/>
        <v>99.038125691553461</v>
      </c>
      <c r="AB73" s="48">
        <f t="shared" si="20"/>
        <v>313.28122064767138</v>
      </c>
      <c r="AC73" s="29">
        <v>96</v>
      </c>
      <c r="AD73" s="47">
        <f t="shared" si="21"/>
        <v>0.30643394392275253</v>
      </c>
    </row>
    <row r="74" spans="1:30" x14ac:dyDescent="0.2">
      <c r="A74" s="30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4"/>
      <c r="O74" s="29">
        <f t="shared" si="11"/>
        <v>198</v>
      </c>
      <c r="P74" s="32" cm="1">
        <f t="array" ref="P74">WPNFACTOR(C74)</f>
        <v>2</v>
      </c>
      <c r="Q74" s="34" cm="1">
        <f t="array" ref="Q74">HPFACTOr(C74)</f>
        <v>5</v>
      </c>
      <c r="R74" s="33">
        <f t="shared" si="12"/>
        <v>99</v>
      </c>
      <c r="S74" s="34">
        <f t="shared" si="13"/>
        <v>409200</v>
      </c>
      <c r="T74" s="33">
        <f t="shared" si="14"/>
        <v>99</v>
      </c>
      <c r="U74" s="42">
        <f t="shared" si="15"/>
        <v>409200</v>
      </c>
      <c r="V74" s="44"/>
      <c r="W74" s="29">
        <f t="shared" si="17"/>
        <v>40510800</v>
      </c>
      <c r="X74" s="41">
        <f t="shared" si="16"/>
        <v>25.271803239599663</v>
      </c>
      <c r="Y74" s="33">
        <f t="shared" si="18"/>
        <v>79.779756218324863</v>
      </c>
      <c r="Z74" s="33">
        <v>1.33</v>
      </c>
      <c r="AA74" s="29">
        <f t="shared" si="19"/>
        <v>106.10707577037208</v>
      </c>
      <c r="AB74" s="48">
        <f t="shared" si="20"/>
        <v>343.44479576613918</v>
      </c>
      <c r="AC74" s="29">
        <v>97</v>
      </c>
      <c r="AD74" s="47">
        <f t="shared" si="21"/>
        <v>0.28243258071102034</v>
      </c>
    </row>
    <row r="75" spans="1:30" x14ac:dyDescent="0.2">
      <c r="A75" s="30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4"/>
      <c r="O75" s="29">
        <f t="shared" si="11"/>
        <v>253.5</v>
      </c>
      <c r="P75" s="32" cm="1">
        <f t="array" ref="P75">WPNFACTOR(C75)</f>
        <v>2.5</v>
      </c>
      <c r="Q75" s="34" cm="1">
        <f t="array" ref="Q75">HPFACTOr(C75)</f>
        <v>4</v>
      </c>
      <c r="R75" s="33">
        <f t="shared" si="12"/>
        <v>101.4</v>
      </c>
      <c r="S75" s="34">
        <f t="shared" si="13"/>
        <v>432480</v>
      </c>
      <c r="T75" s="33">
        <f t="shared" si="14"/>
        <v>101.4</v>
      </c>
      <c r="U75" s="42">
        <f t="shared" si="15"/>
        <v>432480</v>
      </c>
      <c r="V75" s="44"/>
      <c r="W75" s="29">
        <f t="shared" si="17"/>
        <v>43853472</v>
      </c>
      <c r="X75" s="41">
        <f t="shared" si="16"/>
        <v>25.386187733538037</v>
      </c>
      <c r="Y75" s="33">
        <f t="shared" si="18"/>
        <v>81.376872674973427</v>
      </c>
      <c r="Z75" s="33">
        <v>1.33</v>
      </c>
      <c r="AA75" s="29">
        <f t="shared" si="19"/>
        <v>108.23124065771466</v>
      </c>
      <c r="AB75" s="48">
        <f t="shared" si="20"/>
        <v>352.64250764299055</v>
      </c>
      <c r="AC75" s="29">
        <v>98</v>
      </c>
      <c r="AD75" s="47">
        <f t="shared" si="21"/>
        <v>0.2779018350765971</v>
      </c>
    </row>
    <row r="76" spans="1:30" x14ac:dyDescent="0.2">
      <c r="A76" s="30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4"/>
      <c r="O76" s="29">
        <f t="shared" si="11"/>
        <v>261</v>
      </c>
      <c r="P76" s="32" cm="1">
        <f t="array" ref="P76">WPNFACTOR(C76)</f>
        <v>2.5</v>
      </c>
      <c r="Q76" s="34" cm="1">
        <f t="array" ref="Q76">HPFACTOr(C76)</f>
        <v>4</v>
      </c>
      <c r="R76" s="33">
        <f t="shared" si="12"/>
        <v>104.4</v>
      </c>
      <c r="S76" s="34">
        <f t="shared" si="13"/>
        <v>468600</v>
      </c>
      <c r="T76" s="33">
        <f t="shared" si="14"/>
        <v>104.4</v>
      </c>
      <c r="U76" s="42">
        <f t="shared" si="15"/>
        <v>468600</v>
      </c>
      <c r="V76" s="44"/>
      <c r="W76" s="29">
        <f t="shared" si="17"/>
        <v>48921840</v>
      </c>
      <c r="X76" s="41">
        <f t="shared" si="16"/>
        <v>25.543975330320386</v>
      </c>
      <c r="Y76" s="33">
        <f t="shared" si="18"/>
        <v>83.632618724831744</v>
      </c>
      <c r="Z76" s="33">
        <v>1.33</v>
      </c>
      <c r="AA76" s="29">
        <f t="shared" si="19"/>
        <v>111.23138290402622</v>
      </c>
      <c r="AB76" s="48">
        <f t="shared" si="20"/>
        <v>365.73590192636408</v>
      </c>
      <c r="AC76" s="29">
        <v>99</v>
      </c>
      <c r="AD76" s="47">
        <f t="shared" si="21"/>
        <v>0.27068712554211399</v>
      </c>
    </row>
    <row r="77" spans="1:30" x14ac:dyDescent="0.2">
      <c r="A77" s="30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4"/>
      <c r="O77" s="29">
        <f t="shared" si="11"/>
        <v>480</v>
      </c>
      <c r="P77" s="32" cm="1">
        <f t="array" ref="P77">WPNFACTOR(C77)</f>
        <v>4.5</v>
      </c>
      <c r="Q77" s="34" cm="1">
        <f t="array" ref="Q77">HPFACTOr(C77)</f>
        <v>2</v>
      </c>
      <c r="R77" s="33">
        <f t="shared" si="12"/>
        <v>106.66666666666667</v>
      </c>
      <c r="S77" s="34">
        <f t="shared" si="13"/>
        <v>479960</v>
      </c>
      <c r="T77" s="33">
        <f t="shared" si="14"/>
        <v>106.66666666666667</v>
      </c>
      <c r="U77" s="42">
        <f t="shared" si="15"/>
        <v>479960</v>
      </c>
      <c r="V77" s="44"/>
      <c r="W77" s="29">
        <f t="shared" si="17"/>
        <v>51195733.333333336</v>
      </c>
      <c r="X77" s="41">
        <f t="shared" si="16"/>
        <v>25.609520244840439</v>
      </c>
      <c r="Y77" s="33">
        <f t="shared" si="18"/>
        <v>84.587938734732006</v>
      </c>
      <c r="Z77" s="33">
        <v>1.33</v>
      </c>
      <c r="AA77" s="29">
        <f t="shared" si="19"/>
        <v>112.50195851719357</v>
      </c>
      <c r="AB77" s="48">
        <f t="shared" si="20"/>
        <v>371.31679176063886</v>
      </c>
      <c r="AC77" s="29">
        <v>101</v>
      </c>
      <c r="AD77" s="47">
        <f t="shared" si="21"/>
        <v>0.27200493551906862</v>
      </c>
    </row>
    <row r="78" spans="1:30" x14ac:dyDescent="0.2">
      <c r="A78" s="30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4"/>
      <c r="O78" s="29">
        <f t="shared" si="11"/>
        <v>216</v>
      </c>
      <c r="P78" s="32" cm="1">
        <f t="array" ref="P78">WPNFACTOR(C78)</f>
        <v>2</v>
      </c>
      <c r="Q78" s="34" cm="1">
        <f t="array" ref="Q78">HPFACTOr(C78)</f>
        <v>5</v>
      </c>
      <c r="R78" s="33">
        <f t="shared" si="12"/>
        <v>108</v>
      </c>
      <c r="S78" s="34">
        <f t="shared" si="13"/>
        <v>519000</v>
      </c>
      <c r="T78" s="33">
        <f t="shared" si="14"/>
        <v>108</v>
      </c>
      <c r="U78" s="42">
        <f t="shared" si="15"/>
        <v>519000</v>
      </c>
      <c r="V78" s="44"/>
      <c r="W78" s="29">
        <f t="shared" si="17"/>
        <v>56052000</v>
      </c>
      <c r="X78" s="41">
        <f t="shared" si="16"/>
        <v>25.740262515183435</v>
      </c>
      <c r="Y78" s="33">
        <f t="shared" si="18"/>
        <v>86.526229338338482</v>
      </c>
      <c r="Z78" s="33">
        <v>1.33</v>
      </c>
      <c r="AA78" s="29">
        <f t="shared" si="19"/>
        <v>115.07988501999019</v>
      </c>
      <c r="AB78" s="48">
        <f t="shared" si="20"/>
        <v>382.70461946911405</v>
      </c>
      <c r="AC78" s="29">
        <v>102</v>
      </c>
      <c r="AD78" s="47">
        <f t="shared" si="21"/>
        <v>0.26652408884296691</v>
      </c>
    </row>
    <row r="79" spans="1:30" x14ac:dyDescent="0.2">
      <c r="A79" s="30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4"/>
      <c r="O79" s="29">
        <f t="shared" si="11"/>
        <v>281</v>
      </c>
      <c r="P79" s="32" cm="1">
        <f t="array" ref="P79">WPNFACTOR(C79)</f>
        <v>2.5</v>
      </c>
      <c r="Q79" s="34" cm="1">
        <f t="array" ref="Q79">HPFACTOr(C79)</f>
        <v>4</v>
      </c>
      <c r="R79" s="33">
        <f t="shared" si="12"/>
        <v>112.4</v>
      </c>
      <c r="S79" s="34">
        <f t="shared" si="13"/>
        <v>571960</v>
      </c>
      <c r="T79" s="33">
        <f t="shared" si="14"/>
        <v>112.4</v>
      </c>
      <c r="U79" s="42">
        <f t="shared" si="15"/>
        <v>571960</v>
      </c>
      <c r="V79" s="44"/>
      <c r="W79" s="29">
        <f t="shared" si="17"/>
        <v>64288304</v>
      </c>
      <c r="X79" s="41">
        <f t="shared" si="16"/>
        <v>25.938052955481236</v>
      </c>
      <c r="Y79" s="33">
        <f t="shared" si="18"/>
        <v>89.543278657898668</v>
      </c>
      <c r="Z79" s="33">
        <v>1.33</v>
      </c>
      <c r="AA79" s="29">
        <f t="shared" si="19"/>
        <v>119.09256061500524</v>
      </c>
      <c r="AB79" s="48">
        <f t="shared" si="20"/>
        <v>400.59973368270676</v>
      </c>
      <c r="AC79" s="29">
        <v>104</v>
      </c>
      <c r="AD79" s="47">
        <f t="shared" si="21"/>
        <v>0.25961075671201705</v>
      </c>
    </row>
    <row r="80" spans="1:30" x14ac:dyDescent="0.2">
      <c r="A80" s="30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4"/>
      <c r="O80" s="29">
        <f t="shared" si="11"/>
        <v>518.5</v>
      </c>
      <c r="P80" s="32" cm="1">
        <f t="array" ref="P80">WPNFACTOR(C80)</f>
        <v>4.5</v>
      </c>
      <c r="Q80" s="34" cm="1">
        <f t="array" ref="Q80">HPFACTOr(C80)</f>
        <v>2</v>
      </c>
      <c r="R80" s="33">
        <f t="shared" si="12"/>
        <v>115.22222222222223</v>
      </c>
      <c r="S80" s="34">
        <f t="shared" si="13"/>
        <v>591480</v>
      </c>
      <c r="T80" s="33">
        <f t="shared" si="14"/>
        <v>115.22222222222223</v>
      </c>
      <c r="U80" s="42">
        <f t="shared" si="15"/>
        <v>591480</v>
      </c>
      <c r="V80" s="44"/>
      <c r="W80" s="29">
        <f t="shared" si="17"/>
        <v>68151640</v>
      </c>
      <c r="X80" s="41">
        <f t="shared" si="16"/>
        <v>26.022245038650667</v>
      </c>
      <c r="Y80" s="33">
        <f t="shared" si="18"/>
        <v>90.859235394867483</v>
      </c>
      <c r="Z80" s="33">
        <v>1.33</v>
      </c>
      <c r="AA80" s="29">
        <f t="shared" si="19"/>
        <v>120.84278307517376</v>
      </c>
      <c r="AB80" s="48">
        <f t="shared" si="20"/>
        <v>408.46868797038383</v>
      </c>
      <c r="AC80" s="29">
        <v>106</v>
      </c>
      <c r="AD80" s="47">
        <f t="shared" si="21"/>
        <v>0.25950581555393437</v>
      </c>
    </row>
    <row r="81" spans="1:30" x14ac:dyDescent="0.2">
      <c r="A81" s="30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4"/>
      <c r="O81" s="29">
        <f t="shared" si="11"/>
        <v>552</v>
      </c>
      <c r="P81" s="32" cm="1">
        <f t="array" ref="P81">WPNFACTOR(C81)</f>
        <v>4.5</v>
      </c>
      <c r="Q81" s="34" cm="1">
        <f t="array" ref="Q81">HPFACTOr(C81)</f>
        <v>2</v>
      </c>
      <c r="R81" s="33">
        <f t="shared" si="12"/>
        <v>122.66666666666667</v>
      </c>
      <c r="S81" s="34">
        <f t="shared" si="13"/>
        <v>699480</v>
      </c>
      <c r="T81" s="33">
        <f t="shared" si="14"/>
        <v>122.66666666666667</v>
      </c>
      <c r="U81" s="42">
        <f t="shared" si="15"/>
        <v>699480</v>
      </c>
      <c r="V81" s="44"/>
      <c r="W81" s="29">
        <f t="shared" si="17"/>
        <v>85802880</v>
      </c>
      <c r="X81" s="41">
        <f t="shared" si="16"/>
        <v>26.354522737250875</v>
      </c>
      <c r="Y81" s="33">
        <f t="shared" si="18"/>
        <v>96.24439931907277</v>
      </c>
      <c r="Z81" s="33">
        <v>1.33</v>
      </c>
      <c r="AA81" s="29">
        <f t="shared" si="19"/>
        <v>128.00505109436679</v>
      </c>
      <c r="AB81" s="48">
        <f t="shared" si="20"/>
        <v>441.06299458501593</v>
      </c>
      <c r="AC81" s="29">
        <v>108</v>
      </c>
      <c r="AD81" s="47">
        <f t="shared" si="21"/>
        <v>0.24486298176434917</v>
      </c>
    </row>
    <row r="82" spans="1:30" x14ac:dyDescent="0.2">
      <c r="A82" s="30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4"/>
      <c r="O82" s="29">
        <f t="shared" si="11"/>
        <v>196</v>
      </c>
      <c r="P82" s="32" cm="1">
        <f t="array" ref="P82">WPNFACTOR(C82)</f>
        <v>2</v>
      </c>
      <c r="Q82" s="34" cm="1">
        <f t="array" ref="Q82">HPFACTOr(C82)</f>
        <v>5</v>
      </c>
      <c r="R82" s="33">
        <f t="shared" si="12"/>
        <v>98</v>
      </c>
      <c r="S82" s="34">
        <f t="shared" si="13"/>
        <v>397800</v>
      </c>
      <c r="T82" s="33">
        <f t="shared" si="14"/>
        <v>98</v>
      </c>
      <c r="U82" s="42">
        <f t="shared" si="15"/>
        <v>397800</v>
      </c>
      <c r="V82" s="44"/>
      <c r="W82" s="29">
        <f t="shared" si="17"/>
        <v>38984400</v>
      </c>
      <c r="X82" s="41">
        <f t="shared" si="16"/>
        <v>25.216393594723677</v>
      </c>
      <c r="Y82" s="33">
        <f t="shared" si="18"/>
        <v>79.017396020583803</v>
      </c>
      <c r="Z82" s="33">
        <v>1.33</v>
      </c>
      <c r="AA82" s="29">
        <f t="shared" si="19"/>
        <v>105.09313670737646</v>
      </c>
      <c r="AB82" s="48">
        <f t="shared" si="20"/>
        <v>339.07592211868274</v>
      </c>
      <c r="AC82" s="29">
        <v>110</v>
      </c>
      <c r="AD82" s="47">
        <f t="shared" si="21"/>
        <v>0.32441112100403874</v>
      </c>
    </row>
    <row r="83" spans="1:30" x14ac:dyDescent="0.2">
      <c r="A83" s="30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4"/>
      <c r="O83" s="29">
        <f t="shared" si="11"/>
        <v>455</v>
      </c>
      <c r="P83" s="32" cm="1">
        <f t="array" ref="P83">WPNFACTOR(C83)</f>
        <v>4.5</v>
      </c>
      <c r="Q83" s="34" cm="1">
        <f t="array" ref="Q83">HPFACTOr(C83)</f>
        <v>2</v>
      </c>
      <c r="R83" s="33">
        <f t="shared" si="12"/>
        <v>101.11111111111111</v>
      </c>
      <c r="S83" s="34">
        <f t="shared" si="13"/>
        <v>408200</v>
      </c>
      <c r="T83" s="33">
        <f t="shared" si="14"/>
        <v>101.11111111111111</v>
      </c>
      <c r="U83" s="42">
        <f t="shared" si="15"/>
        <v>408200</v>
      </c>
      <c r="V83" s="44"/>
      <c r="W83" s="29">
        <f t="shared" si="17"/>
        <v>41273555.55555556</v>
      </c>
      <c r="X83" s="41">
        <f t="shared" si="16"/>
        <v>25.298714390451192</v>
      </c>
      <c r="Y83" s="33">
        <f t="shared" si="18"/>
        <v>80.152665739359776</v>
      </c>
      <c r="Z83" s="33">
        <v>1.33</v>
      </c>
      <c r="AA83" s="29">
        <f t="shared" si="19"/>
        <v>106.60304543334851</v>
      </c>
      <c r="AB83" s="48">
        <f t="shared" si="20"/>
        <v>345.58691822117123</v>
      </c>
      <c r="AC83" s="29">
        <v>111</v>
      </c>
      <c r="AD83" s="47">
        <f t="shared" si="21"/>
        <v>0.32119271346076073</v>
      </c>
    </row>
    <row r="84" spans="1:30" x14ac:dyDescent="0.2">
      <c r="A84" s="30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4"/>
      <c r="O84" s="29">
        <f t="shared" si="11"/>
        <v>256</v>
      </c>
      <c r="P84" s="32" cm="1">
        <f t="array" ref="P84">WPNFACTOR(C84)</f>
        <v>2.5</v>
      </c>
      <c r="Q84" s="34" cm="1">
        <f t="array" ref="Q84">HPFACTOr(C84)</f>
        <v>4</v>
      </c>
      <c r="R84" s="33">
        <f t="shared" si="12"/>
        <v>102.4</v>
      </c>
      <c r="S84" s="34">
        <f t="shared" si="13"/>
        <v>444360</v>
      </c>
      <c r="T84" s="33">
        <f t="shared" si="14"/>
        <v>102.4</v>
      </c>
      <c r="U84" s="42">
        <f t="shared" si="15"/>
        <v>444360</v>
      </c>
      <c r="V84" s="44"/>
      <c r="W84" s="29">
        <f t="shared" si="17"/>
        <v>45502464</v>
      </c>
      <c r="X84" s="41">
        <f t="shared" si="16"/>
        <v>25.439441334892788</v>
      </c>
      <c r="Y84" s="33">
        <f t="shared" si="18"/>
        <v>82.131305986055025</v>
      </c>
      <c r="Z84" s="33">
        <v>1.33</v>
      </c>
      <c r="AA84" s="29">
        <f t="shared" si="19"/>
        <v>109.23463696145319</v>
      </c>
      <c r="AB84" s="48">
        <f t="shared" si="20"/>
        <v>357.00829332082367</v>
      </c>
      <c r="AC84" s="29">
        <v>112</v>
      </c>
      <c r="AD84" s="47">
        <f t="shared" si="21"/>
        <v>0.31371820233697423</v>
      </c>
    </row>
    <row r="85" spans="1:30" x14ac:dyDescent="0.2">
      <c r="A85" s="30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4"/>
      <c r="O85" s="29">
        <f t="shared" si="11"/>
        <v>206</v>
      </c>
      <c r="P85" s="32" cm="1">
        <f t="array" ref="P85">WPNFACTOR(C85)</f>
        <v>2</v>
      </c>
      <c r="Q85" s="34" cm="1">
        <f t="array" ref="Q85">HPFACTOr(C85)</f>
        <v>5</v>
      </c>
      <c r="R85" s="33">
        <f t="shared" si="12"/>
        <v>103</v>
      </c>
      <c r="S85" s="34">
        <f t="shared" si="13"/>
        <v>456400</v>
      </c>
      <c r="T85" s="33">
        <f t="shared" si="14"/>
        <v>103</v>
      </c>
      <c r="U85" s="42">
        <f t="shared" si="15"/>
        <v>456400</v>
      </c>
      <c r="V85" s="44"/>
      <c r="W85" s="29">
        <f t="shared" si="17"/>
        <v>47009200</v>
      </c>
      <c r="X85" s="41">
        <f t="shared" si="16"/>
        <v>25.486439793246628</v>
      </c>
      <c r="Y85" s="33">
        <f t="shared" si="18"/>
        <v>82.80293199235166</v>
      </c>
      <c r="Z85" s="33">
        <v>1.33</v>
      </c>
      <c r="AA85" s="29">
        <f t="shared" si="19"/>
        <v>110.12789954982772</v>
      </c>
      <c r="AB85" s="48">
        <f t="shared" si="20"/>
        <v>360.90615342795007</v>
      </c>
      <c r="AC85" s="29">
        <v>112</v>
      </c>
      <c r="AD85" s="47">
        <f t="shared" si="21"/>
        <v>0.31032998173127369</v>
      </c>
    </row>
    <row r="86" spans="1:30" x14ac:dyDescent="0.2">
      <c r="A86" s="30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4"/>
      <c r="O86" s="29">
        <f t="shared" si="11"/>
        <v>476.5</v>
      </c>
      <c r="P86" s="32" cm="1">
        <f t="array" ref="P86">WPNFACTOR(C86)</f>
        <v>4.5</v>
      </c>
      <c r="Q86" s="34" cm="1">
        <f t="array" ref="Q86">HPFACTOr(C86)</f>
        <v>2</v>
      </c>
      <c r="R86" s="33">
        <f t="shared" si="12"/>
        <v>105.88888888888889</v>
      </c>
      <c r="S86" s="34">
        <f t="shared" si="13"/>
        <v>467600</v>
      </c>
      <c r="T86" s="33">
        <f t="shared" si="14"/>
        <v>105.88888888888889</v>
      </c>
      <c r="U86" s="42">
        <f t="shared" si="15"/>
        <v>467600</v>
      </c>
      <c r="V86" s="44"/>
      <c r="W86" s="29">
        <f t="shared" si="17"/>
        <v>49513644.44444444</v>
      </c>
      <c r="X86" s="41">
        <f t="shared" si="16"/>
        <v>25.561322806774008</v>
      </c>
      <c r="Y86" s="33">
        <f t="shared" si="18"/>
        <v>83.884404041314355</v>
      </c>
      <c r="Z86" s="33">
        <v>1.33</v>
      </c>
      <c r="AA86" s="29">
        <f t="shared" si="19"/>
        <v>111.56625737494809</v>
      </c>
      <c r="AB86" s="48">
        <f t="shared" si="20"/>
        <v>367.2047563306686</v>
      </c>
      <c r="AC86" s="29">
        <v>113</v>
      </c>
      <c r="AD86" s="47">
        <f t="shared" si="21"/>
        <v>0.30773021877266554</v>
      </c>
    </row>
    <row r="87" spans="1:30" x14ac:dyDescent="0.2">
      <c r="A87" s="30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4"/>
      <c r="O87" s="29">
        <f t="shared" si="11"/>
        <v>218</v>
      </c>
      <c r="P87" s="32" cm="1">
        <f t="array" ref="P87">WPNFACTOR(C87)</f>
        <v>2</v>
      </c>
      <c r="Q87" s="34" cm="1">
        <f t="array" ref="Q87">HPFACTOr(C87)</f>
        <v>5</v>
      </c>
      <c r="R87" s="33">
        <f t="shared" si="12"/>
        <v>109</v>
      </c>
      <c r="S87" s="34">
        <f t="shared" si="13"/>
        <v>532000</v>
      </c>
      <c r="T87" s="33">
        <f t="shared" si="14"/>
        <v>109</v>
      </c>
      <c r="U87" s="42">
        <f t="shared" si="15"/>
        <v>532000</v>
      </c>
      <c r="V87" s="44"/>
      <c r="W87" s="29">
        <f t="shared" si="17"/>
        <v>57988000</v>
      </c>
      <c r="X87" s="41">
        <f t="shared" si="16"/>
        <v>25.789251044940205</v>
      </c>
      <c r="Y87" s="33">
        <f t="shared" si="18"/>
        <v>87.263882715085899</v>
      </c>
      <c r="Z87" s="33">
        <v>1.33</v>
      </c>
      <c r="AA87" s="29">
        <f t="shared" si="19"/>
        <v>116.06096401106426</v>
      </c>
      <c r="AB87" s="48">
        <f t="shared" si="20"/>
        <v>387.06096652051542</v>
      </c>
      <c r="AC87" s="29">
        <v>114</v>
      </c>
      <c r="AD87" s="47">
        <f t="shared" si="21"/>
        <v>0.29452724469946689</v>
      </c>
    </row>
    <row r="88" spans="1:30" x14ac:dyDescent="0.2">
      <c r="A88" s="30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4"/>
      <c r="O88" s="29">
        <f t="shared" si="11"/>
        <v>276</v>
      </c>
      <c r="P88" s="32" cm="1">
        <f t="array" ref="P88">WPNFACTOR(C88)</f>
        <v>2.5</v>
      </c>
      <c r="Q88" s="34" cm="1">
        <f t="array" ref="Q88">HPFACTOr(C88)</f>
        <v>4</v>
      </c>
      <c r="R88" s="33">
        <f t="shared" si="12"/>
        <v>110.4</v>
      </c>
      <c r="S88" s="34">
        <f t="shared" si="13"/>
        <v>545160</v>
      </c>
      <c r="T88" s="33">
        <f t="shared" si="14"/>
        <v>110.4</v>
      </c>
      <c r="U88" s="42">
        <f t="shared" si="15"/>
        <v>545160</v>
      </c>
      <c r="V88" s="44"/>
      <c r="W88" s="29">
        <f t="shared" si="17"/>
        <v>60185664</v>
      </c>
      <c r="X88" s="41">
        <f t="shared" si="16"/>
        <v>25.842916547556069</v>
      </c>
      <c r="Y88" s="33">
        <f t="shared" si="18"/>
        <v>88.079180259257527</v>
      </c>
      <c r="Z88" s="33">
        <v>1.33</v>
      </c>
      <c r="AA88" s="29">
        <f t="shared" si="19"/>
        <v>117.14530974481252</v>
      </c>
      <c r="AB88" s="48">
        <f t="shared" si="20"/>
        <v>391.89015386710827</v>
      </c>
      <c r="AC88" s="29">
        <v>115</v>
      </c>
      <c r="AD88" s="47">
        <f t="shared" si="21"/>
        <v>0.29344957729914545</v>
      </c>
    </row>
    <row r="89" spans="1:30" x14ac:dyDescent="0.2">
      <c r="A89" s="30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4"/>
      <c r="O89" s="29">
        <f t="shared" si="11"/>
        <v>278.5</v>
      </c>
      <c r="P89" s="32" cm="1">
        <f t="array" ref="P89">WPNFACTOR(C89)</f>
        <v>2.5</v>
      </c>
      <c r="Q89" s="34" cm="1">
        <f t="array" ref="Q89">HPFACTOr(C89)</f>
        <v>4</v>
      </c>
      <c r="R89" s="33">
        <f t="shared" si="12"/>
        <v>111.4</v>
      </c>
      <c r="S89" s="34">
        <f t="shared" si="13"/>
        <v>558480</v>
      </c>
      <c r="T89" s="33">
        <f t="shared" si="14"/>
        <v>111.4</v>
      </c>
      <c r="U89" s="42">
        <f t="shared" si="15"/>
        <v>558480</v>
      </c>
      <c r="V89" s="44"/>
      <c r="W89" s="29">
        <f t="shared" si="17"/>
        <v>62214672</v>
      </c>
      <c r="X89" s="41">
        <f t="shared" si="16"/>
        <v>25.890751513466537</v>
      </c>
      <c r="Y89" s="33">
        <f t="shared" si="18"/>
        <v>88.812317728254783</v>
      </c>
      <c r="Z89" s="33">
        <v>1.33</v>
      </c>
      <c r="AA89" s="29">
        <f t="shared" si="19"/>
        <v>118.12038257857887</v>
      </c>
      <c r="AB89" s="48">
        <f t="shared" si="20"/>
        <v>396.24543503649068</v>
      </c>
      <c r="AC89" s="29">
        <v>116</v>
      </c>
      <c r="AD89" s="47">
        <f t="shared" si="21"/>
        <v>0.29274785207132403</v>
      </c>
    </row>
    <row r="90" spans="1:30" x14ac:dyDescent="0.2">
      <c r="A90" s="30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4"/>
      <c r="O90" s="29">
        <f t="shared" si="11"/>
        <v>530</v>
      </c>
      <c r="P90" s="32" cm="1">
        <f t="array" ref="P90">WPNFACTOR(C90)</f>
        <v>4.5</v>
      </c>
      <c r="Q90" s="34" cm="1">
        <f t="array" ref="Q90">HPFACTOr(C90)</f>
        <v>2</v>
      </c>
      <c r="R90" s="33">
        <f t="shared" si="12"/>
        <v>117.77777777777777</v>
      </c>
      <c r="S90" s="34">
        <f t="shared" si="13"/>
        <v>626480</v>
      </c>
      <c r="T90" s="33">
        <f t="shared" si="14"/>
        <v>117.77777777777777</v>
      </c>
      <c r="U90" s="42">
        <f t="shared" si="15"/>
        <v>626480</v>
      </c>
      <c r="V90" s="44"/>
      <c r="W90" s="29">
        <f t="shared" si="17"/>
        <v>73785422.222222224</v>
      </c>
      <c r="X90" s="41">
        <f t="shared" si="16"/>
        <v>26.136832475549447</v>
      </c>
      <c r="Y90" s="33">
        <f t="shared" si="18"/>
        <v>92.681412012289897</v>
      </c>
      <c r="Z90" s="33">
        <v>1.33</v>
      </c>
      <c r="AA90" s="29">
        <f t="shared" si="19"/>
        <v>123.26627797634556</v>
      </c>
      <c r="AB90" s="48">
        <f t="shared" si="20"/>
        <v>419.42745535263879</v>
      </c>
      <c r="AC90" s="29">
        <v>118</v>
      </c>
      <c r="AD90" s="47">
        <f t="shared" si="21"/>
        <v>0.28133589848282597</v>
      </c>
    </row>
    <row r="91" spans="1:30" x14ac:dyDescent="0.2">
      <c r="A91" s="30" t="s">
        <v>8848</v>
      </c>
      <c r="B91" s="29">
        <v>10</v>
      </c>
      <c r="C91" s="29">
        <v>2</v>
      </c>
      <c r="D91" s="29">
        <v>190</v>
      </c>
      <c r="E91" s="29">
        <v>900</v>
      </c>
      <c r="F91" s="29">
        <v>920</v>
      </c>
      <c r="G91" s="29">
        <v>3720</v>
      </c>
      <c r="H91" s="29">
        <v>3280</v>
      </c>
      <c r="I91" s="29">
        <v>1340</v>
      </c>
      <c r="J91" s="29">
        <v>1252960</v>
      </c>
      <c r="K91" s="29">
        <v>439</v>
      </c>
      <c r="L91" s="29">
        <v>621</v>
      </c>
      <c r="N91" s="34"/>
      <c r="O91" s="29">
        <f t="shared" ref="O91" si="22">AVERAGE(K91, L91)</f>
        <v>530</v>
      </c>
      <c r="P91" s="32" cm="1">
        <f t="array" ref="P91">WPNFACTOR(C91)</f>
        <v>4.5</v>
      </c>
      <c r="Q91" s="34" cm="1">
        <f t="array" ref="Q91">HPFACTOr(C91)</f>
        <v>2</v>
      </c>
      <c r="R91" s="33">
        <f t="shared" ref="R91" si="23">O91/P91</f>
        <v>117.77777777777777</v>
      </c>
      <c r="S91" s="34">
        <f t="shared" ref="S91" si="24">J91/Q91</f>
        <v>626480</v>
      </c>
      <c r="T91" s="33">
        <f t="shared" ref="T91" si="25">R91*(1 + (N91/400))</f>
        <v>117.77777777777777</v>
      </c>
      <c r="U91" s="42">
        <f t="shared" ref="U91" si="26">S91*1.6/(1 + (0.6*(1 - (M91/100))))</f>
        <v>626480</v>
      </c>
      <c r="V91" s="44"/>
      <c r="W91" s="29">
        <f t="shared" ref="W91" si="27">T91*U91</f>
        <v>73785422.222222224</v>
      </c>
      <c r="X91" s="41">
        <f t="shared" si="16"/>
        <v>26.136832475549447</v>
      </c>
      <c r="Y91" s="33">
        <f t="shared" ref="Y91" si="28">POWER(W91, 1/4)</f>
        <v>92.681412012289897</v>
      </c>
      <c r="Z91" s="33">
        <v>1.33</v>
      </c>
      <c r="AA91" s="29">
        <f t="shared" ref="AA91" si="29">Y91*Z91</f>
        <v>123.26627797634556</v>
      </c>
      <c r="AB91" s="48">
        <f t="shared" ref="AB91" si="30">POWER(W91, 1/$AB$1)</f>
        <v>419.42745535263879</v>
      </c>
      <c r="AC91" s="29">
        <v>119</v>
      </c>
      <c r="AD91" s="47">
        <f t="shared" ref="AD91" si="31">IF(AC91 = "", ,AC91/AB91)</f>
        <v>0.28372010101234141</v>
      </c>
    </row>
    <row r="92" spans="1:30" x14ac:dyDescent="0.2">
      <c r="A92" s="30" t="s">
        <v>8849</v>
      </c>
      <c r="B92" s="29">
        <v>1</v>
      </c>
      <c r="C92" s="29">
        <v>3</v>
      </c>
      <c r="D92" s="29">
        <v>205</v>
      </c>
      <c r="E92" s="29">
        <v>995</v>
      </c>
      <c r="F92" s="29">
        <v>3940</v>
      </c>
      <c r="G92" s="29">
        <v>985</v>
      </c>
      <c r="H92" s="29">
        <v>3660</v>
      </c>
      <c r="I92" s="29">
        <v>1450</v>
      </c>
      <c r="J92" s="29">
        <v>3015840</v>
      </c>
      <c r="K92" s="29">
        <v>241</v>
      </c>
      <c r="L92" s="29">
        <v>386</v>
      </c>
      <c r="N92" s="34"/>
      <c r="O92" s="29">
        <f t="shared" si="11"/>
        <v>313.5</v>
      </c>
      <c r="P92" s="32" cm="1">
        <f t="array" ref="P92">WPNFACTOR(C92)</f>
        <v>2.5</v>
      </c>
      <c r="Q92" s="34" cm="1">
        <f t="array" ref="Q92">HPFACTOr(C92)</f>
        <v>4</v>
      </c>
      <c r="R92" s="33">
        <f t="shared" si="12"/>
        <v>125.4</v>
      </c>
      <c r="S92" s="34">
        <f t="shared" si="13"/>
        <v>753960</v>
      </c>
      <c r="T92" s="33">
        <f t="shared" si="14"/>
        <v>125.4</v>
      </c>
      <c r="U92" s="42">
        <f t="shared" si="15"/>
        <v>753960</v>
      </c>
      <c r="V92" s="44"/>
      <c r="W92" s="29">
        <f t="shared" si="17"/>
        <v>94546584</v>
      </c>
      <c r="X92" s="41">
        <f t="shared" si="16"/>
        <v>26.494521998269303</v>
      </c>
      <c r="Y92" s="33">
        <f t="shared" si="18"/>
        <v>98.607843373747514</v>
      </c>
      <c r="Z92" s="33">
        <v>1.33</v>
      </c>
      <c r="AA92" s="29">
        <f t="shared" si="19"/>
        <v>131.14843168708421</v>
      </c>
      <c r="AB92" s="48">
        <f t="shared" si="20"/>
        <v>455.56317817460996</v>
      </c>
      <c r="AC92" s="29">
        <v>119</v>
      </c>
      <c r="AD92" s="47">
        <f t="shared" si="21"/>
        <v>0.26121514139228619</v>
      </c>
    </row>
    <row r="93" spans="1:30" x14ac:dyDescent="0.2">
      <c r="A93" s="30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4"/>
      <c r="O93" s="29">
        <f t="shared" si="11"/>
        <v>254.5</v>
      </c>
      <c r="P93" s="32" cm="1">
        <f t="array" ref="P93">WPNFACTOR(C93)</f>
        <v>2</v>
      </c>
      <c r="Q93" s="34" cm="1">
        <f t="array" ref="Q93">HPFACTOr(C93)</f>
        <v>5</v>
      </c>
      <c r="R93" s="33">
        <f t="shared" si="12"/>
        <v>127.25</v>
      </c>
      <c r="S93" s="34">
        <f t="shared" si="13"/>
        <v>793360</v>
      </c>
      <c r="T93" s="33">
        <f t="shared" si="14"/>
        <v>127.25</v>
      </c>
      <c r="U93" s="42">
        <f t="shared" si="15"/>
        <v>793360</v>
      </c>
      <c r="V93" s="44"/>
      <c r="W93" s="29">
        <f t="shared" si="17"/>
        <v>100955060</v>
      </c>
      <c r="X93" s="41">
        <f t="shared" si="16"/>
        <v>26.589137981347879</v>
      </c>
      <c r="Y93" s="33">
        <f t="shared" si="18"/>
        <v>100.23791460215368</v>
      </c>
      <c r="Z93" s="33">
        <v>1.33</v>
      </c>
      <c r="AA93" s="29">
        <f t="shared" si="19"/>
        <v>133.31642642086439</v>
      </c>
      <c r="AB93" s="48">
        <f t="shared" si="20"/>
        <v>465.63186924388361</v>
      </c>
      <c r="AC93" s="29">
        <v>121</v>
      </c>
      <c r="AD93" s="47">
        <f t="shared" si="21"/>
        <v>0.25986193813685021</v>
      </c>
    </row>
    <row r="94" spans="1:30" x14ac:dyDescent="0.2">
      <c r="A94" s="30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4"/>
      <c r="O94" s="29">
        <f t="shared" si="11"/>
        <v>259</v>
      </c>
      <c r="P94" s="32" cm="1">
        <f t="array" ref="P94">WPNFACTOR(C94)</f>
        <v>2</v>
      </c>
      <c r="Q94" s="34" cm="1">
        <f t="array" ref="Q94">HPFACTOr(C94)</f>
        <v>5</v>
      </c>
      <c r="R94" s="33">
        <f t="shared" si="12"/>
        <v>129.5</v>
      </c>
      <c r="S94" s="34">
        <f t="shared" si="13"/>
        <v>833760</v>
      </c>
      <c r="T94" s="33">
        <f t="shared" si="14"/>
        <v>129.5</v>
      </c>
      <c r="U94" s="42">
        <f t="shared" si="15"/>
        <v>833760</v>
      </c>
      <c r="V94" s="44"/>
      <c r="W94" s="29">
        <f t="shared" si="17"/>
        <v>107971920</v>
      </c>
      <c r="X94" s="41">
        <f t="shared" si="16"/>
        <v>26.686080922005466</v>
      </c>
      <c r="Y94" s="33">
        <f t="shared" si="18"/>
        <v>101.93602777211289</v>
      </c>
      <c r="Z94" s="33">
        <v>1.33</v>
      </c>
      <c r="AA94" s="29">
        <f t="shared" si="19"/>
        <v>135.57491693691014</v>
      </c>
      <c r="AB94" s="48">
        <f t="shared" si="20"/>
        <v>476.17903958564807</v>
      </c>
      <c r="AC94" s="29">
        <v>123</v>
      </c>
      <c r="AD94" s="47">
        <f t="shared" si="21"/>
        <v>0.25830620370655055</v>
      </c>
    </row>
    <row r="95" spans="1:30" x14ac:dyDescent="0.2">
      <c r="A95" s="30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4"/>
      <c r="O95" s="29">
        <f t="shared" si="11"/>
        <v>264.5</v>
      </c>
      <c r="P95" s="32" cm="1">
        <f t="array" ref="P95">WPNFACTOR(C95)</f>
        <v>2</v>
      </c>
      <c r="Q95" s="34" cm="1">
        <f t="array" ref="Q95">HPFACTOr(C95)</f>
        <v>5</v>
      </c>
      <c r="R95" s="33">
        <f t="shared" si="12"/>
        <v>132.25</v>
      </c>
      <c r="S95" s="34">
        <f t="shared" si="13"/>
        <v>875160</v>
      </c>
      <c r="T95" s="33">
        <f t="shared" si="14"/>
        <v>132.25</v>
      </c>
      <c r="U95" s="42">
        <f t="shared" si="15"/>
        <v>875160</v>
      </c>
      <c r="V95" s="44"/>
      <c r="W95" s="29">
        <f t="shared" si="17"/>
        <v>115739910</v>
      </c>
      <c r="X95" s="41">
        <f t="shared" si="16"/>
        <v>26.786311186472432</v>
      </c>
      <c r="Y95" s="33">
        <f t="shared" si="18"/>
        <v>103.72197676186303</v>
      </c>
      <c r="Z95" s="33">
        <v>1.33</v>
      </c>
      <c r="AA95" s="29">
        <f t="shared" si="19"/>
        <v>137.95022909327784</v>
      </c>
      <c r="AB95" s="48">
        <f t="shared" si="20"/>
        <v>487.33512373103684</v>
      </c>
      <c r="AC95" s="29">
        <v>125</v>
      </c>
      <c r="AD95" s="47">
        <f t="shared" si="21"/>
        <v>0.2564970056806089</v>
      </c>
    </row>
    <row r="96" spans="1:30" x14ac:dyDescent="0.2">
      <c r="A96" s="30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4"/>
      <c r="O96" s="29">
        <f t="shared" si="11"/>
        <v>339.5</v>
      </c>
      <c r="P96" s="32" cm="1">
        <f t="array" ref="P96">WPNFACTOR(C96)</f>
        <v>2.5</v>
      </c>
      <c r="Q96" s="34" cm="1">
        <f t="array" ref="Q96">HPFACTOr(C96)</f>
        <v>4</v>
      </c>
      <c r="R96" s="33">
        <f t="shared" si="12"/>
        <v>135.80000000000001</v>
      </c>
      <c r="S96" s="34">
        <f t="shared" si="13"/>
        <v>917560</v>
      </c>
      <c r="T96" s="33">
        <f t="shared" si="14"/>
        <v>135.80000000000001</v>
      </c>
      <c r="U96" s="42">
        <f t="shared" si="15"/>
        <v>917560</v>
      </c>
      <c r="V96" s="44"/>
      <c r="W96" s="29">
        <f t="shared" si="17"/>
        <v>124604648.00000001</v>
      </c>
      <c r="X96" s="41">
        <f t="shared" si="16"/>
        <v>26.892782643845095</v>
      </c>
      <c r="Y96" s="33">
        <f t="shared" si="18"/>
        <v>105.6534202296471</v>
      </c>
      <c r="Z96" s="33">
        <v>1.33</v>
      </c>
      <c r="AA96" s="29">
        <f t="shared" si="19"/>
        <v>140.51904890543065</v>
      </c>
      <c r="AB96" s="48">
        <f t="shared" si="20"/>
        <v>499.47230727670069</v>
      </c>
      <c r="AC96" s="29">
        <v>127</v>
      </c>
      <c r="AD96" s="47">
        <f t="shared" si="21"/>
        <v>0.25426835111729984</v>
      </c>
    </row>
    <row r="97" spans="1:30" x14ac:dyDescent="0.2">
      <c r="A97" s="30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4"/>
      <c r="O97" s="29">
        <f t="shared" si="11"/>
        <v>346</v>
      </c>
      <c r="P97" s="32" cm="1">
        <f t="array" ref="P97">WPNFACTOR(C97)</f>
        <v>2.5</v>
      </c>
      <c r="Q97" s="34" cm="1">
        <f t="array" ref="Q97">HPFACTOr(C97)</f>
        <v>4</v>
      </c>
      <c r="R97" s="33">
        <f t="shared" si="12"/>
        <v>138.4</v>
      </c>
      <c r="S97" s="34">
        <f t="shared" si="13"/>
        <v>960960</v>
      </c>
      <c r="T97" s="33">
        <f t="shared" si="14"/>
        <v>138.4</v>
      </c>
      <c r="U97" s="42">
        <f t="shared" si="15"/>
        <v>960960</v>
      </c>
      <c r="V97" s="44"/>
      <c r="W97" s="29">
        <f t="shared" si="17"/>
        <v>132996864</v>
      </c>
      <c r="X97" s="41">
        <f t="shared" si="16"/>
        <v>26.986816987193876</v>
      </c>
      <c r="Y97" s="33">
        <f t="shared" si="18"/>
        <v>107.38913646652578</v>
      </c>
      <c r="Z97" s="33">
        <v>1.33</v>
      </c>
      <c r="AA97" s="29">
        <f t="shared" si="19"/>
        <v>142.8275515004793</v>
      </c>
      <c r="AB97" s="48">
        <f t="shared" si="20"/>
        <v>510.44286023530191</v>
      </c>
      <c r="AC97" s="29">
        <v>130</v>
      </c>
      <c r="AD97" s="47">
        <f t="shared" si="21"/>
        <v>0.25468080783826247</v>
      </c>
    </row>
    <row r="98" spans="1:30" x14ac:dyDescent="0.2">
      <c r="A98" s="30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4"/>
      <c r="O98" s="29">
        <f t="shared" si="11"/>
        <v>627.5</v>
      </c>
      <c r="P98" s="32" cm="1">
        <f t="array" ref="P98">WPNFACTOR(C98)</f>
        <v>4.5</v>
      </c>
      <c r="Q98" s="34" cm="1">
        <f t="array" ref="Q98">HPFACTOr(C98)</f>
        <v>2</v>
      </c>
      <c r="R98" s="33">
        <f t="shared" si="12"/>
        <v>139.44444444444446</v>
      </c>
      <c r="S98" s="34">
        <f t="shared" si="13"/>
        <v>986480</v>
      </c>
      <c r="T98" s="33">
        <f t="shared" si="14"/>
        <v>139.44444444444446</v>
      </c>
      <c r="U98" s="42">
        <f t="shared" si="15"/>
        <v>986480</v>
      </c>
      <c r="V98" s="44"/>
      <c r="W98" s="29">
        <f t="shared" si="17"/>
        <v>137559155.55555558</v>
      </c>
      <c r="X98" s="41">
        <f t="shared" si="16"/>
        <v>27.035476923725909</v>
      </c>
      <c r="Y98" s="33">
        <f t="shared" si="18"/>
        <v>108.29848350592363</v>
      </c>
      <c r="Z98" s="33">
        <v>1.33</v>
      </c>
      <c r="AA98" s="29">
        <f t="shared" si="19"/>
        <v>144.03698306287842</v>
      </c>
      <c r="AB98" s="48">
        <f t="shared" si="20"/>
        <v>516.21406542348439</v>
      </c>
      <c r="AC98" s="29">
        <v>132</v>
      </c>
      <c r="AD98" s="47">
        <f t="shared" si="21"/>
        <v>0.25570787167860626</v>
      </c>
    </row>
    <row r="99" spans="1:30" x14ac:dyDescent="0.2">
      <c r="A99" s="30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4"/>
      <c r="O99" s="29">
        <f t="shared" si="11"/>
        <v>284.5</v>
      </c>
      <c r="P99" s="32" cm="1">
        <f t="array" ref="P99">WPNFACTOR(C99)</f>
        <v>2</v>
      </c>
      <c r="Q99" s="34" cm="1">
        <f t="array" ref="Q99">HPFACTOr(C99)</f>
        <v>5</v>
      </c>
      <c r="R99" s="33">
        <f t="shared" si="12"/>
        <v>142.25</v>
      </c>
      <c r="S99" s="34">
        <f t="shared" si="13"/>
        <v>1050760</v>
      </c>
      <c r="T99" s="33">
        <f t="shared" si="14"/>
        <v>142.25</v>
      </c>
      <c r="U99" s="42">
        <f t="shared" si="15"/>
        <v>1050760</v>
      </c>
      <c r="V99" s="44"/>
      <c r="W99" s="29">
        <f t="shared" si="17"/>
        <v>149470610</v>
      </c>
      <c r="X99" s="41">
        <f t="shared" si="16"/>
        <v>27.155286598200831</v>
      </c>
      <c r="Y99" s="33">
        <f t="shared" si="18"/>
        <v>110.57041808317986</v>
      </c>
      <c r="Z99" s="33">
        <v>1.33</v>
      </c>
      <c r="AA99" s="29">
        <f t="shared" si="19"/>
        <v>147.05865605062922</v>
      </c>
      <c r="AB99" s="48">
        <f t="shared" si="20"/>
        <v>530.70348022501435</v>
      </c>
      <c r="AC99" s="29">
        <v>134</v>
      </c>
      <c r="AD99" s="47">
        <f t="shared" si="21"/>
        <v>0.25249504665615718</v>
      </c>
    </row>
    <row r="100" spans="1:30" x14ac:dyDescent="0.2">
      <c r="A100" s="30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4"/>
      <c r="O100" s="29">
        <f t="shared" si="11"/>
        <v>289.5</v>
      </c>
      <c r="P100" s="32" cm="1">
        <f t="array" ref="P100">WPNFACTOR(C100)</f>
        <v>2</v>
      </c>
      <c r="Q100" s="34" cm="1">
        <f t="array" ref="Q100">HPFACTOr(C100)</f>
        <v>5</v>
      </c>
      <c r="R100" s="33">
        <f t="shared" si="12"/>
        <v>144.75</v>
      </c>
      <c r="S100" s="34">
        <f t="shared" si="13"/>
        <v>1097160</v>
      </c>
      <c r="T100" s="33">
        <f t="shared" si="14"/>
        <v>144.75</v>
      </c>
      <c r="U100" s="42">
        <f t="shared" si="15"/>
        <v>1097160</v>
      </c>
      <c r="V100" s="44"/>
      <c r="W100" s="29">
        <f t="shared" si="17"/>
        <v>158813910</v>
      </c>
      <c r="X100" s="41">
        <f t="shared" si="16"/>
        <v>27.242762038136146</v>
      </c>
      <c r="Y100" s="33">
        <f t="shared" si="18"/>
        <v>112.25924952598007</v>
      </c>
      <c r="Z100" s="33">
        <v>1.33</v>
      </c>
      <c r="AA100" s="29">
        <f t="shared" si="19"/>
        <v>149.3048018695535</v>
      </c>
      <c r="AB100" s="48">
        <f t="shared" si="20"/>
        <v>541.53871828694753</v>
      </c>
      <c r="AC100" s="29">
        <v>137</v>
      </c>
      <c r="AD100" s="47">
        <f t="shared" si="21"/>
        <v>0.25298283460390952</v>
      </c>
    </row>
    <row r="101" spans="1:30" x14ac:dyDescent="0.2">
      <c r="A101" s="30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4"/>
      <c r="O101" s="29">
        <f t="shared" si="11"/>
        <v>294.5</v>
      </c>
      <c r="P101" s="32" cm="1">
        <f t="array" ref="P101">WPNFACTOR(C101)</f>
        <v>2</v>
      </c>
      <c r="Q101" s="34" cm="1">
        <f t="array" ref="Q101">HPFACTOr(C101)</f>
        <v>5</v>
      </c>
      <c r="R101" s="33">
        <f t="shared" si="12"/>
        <v>147.25</v>
      </c>
      <c r="S101" s="34">
        <f t="shared" si="13"/>
        <v>1144560</v>
      </c>
      <c r="T101" s="33">
        <f t="shared" si="14"/>
        <v>147.25</v>
      </c>
      <c r="U101" s="42">
        <f t="shared" si="15"/>
        <v>1144560</v>
      </c>
      <c r="V101" s="44"/>
      <c r="W101" s="29">
        <f t="shared" si="17"/>
        <v>168536460</v>
      </c>
      <c r="X101" s="41">
        <f t="shared" si="16"/>
        <v>27.32848548683334</v>
      </c>
      <c r="Y101" s="33">
        <f t="shared" si="18"/>
        <v>113.9392789889049</v>
      </c>
      <c r="Z101" s="33">
        <v>1.33</v>
      </c>
      <c r="AA101" s="29">
        <f t="shared" si="19"/>
        <v>151.53924105524354</v>
      </c>
      <c r="AB101" s="48">
        <f t="shared" si="20"/>
        <v>552.37153364033645</v>
      </c>
      <c r="AC101" s="29">
        <v>139</v>
      </c>
      <c r="AD101" s="47">
        <f t="shared" si="21"/>
        <v>0.25164222182837276</v>
      </c>
    </row>
    <row r="102" spans="1:30" x14ac:dyDescent="0.2">
      <c r="A102" s="30" t="s">
        <v>8850</v>
      </c>
      <c r="B102" s="29">
        <v>1</v>
      </c>
      <c r="C102" s="29">
        <v>1</v>
      </c>
      <c r="D102" s="29">
        <v>255</v>
      </c>
      <c r="E102" s="29">
        <v>4940</v>
      </c>
      <c r="F102" s="29">
        <v>1735</v>
      </c>
      <c r="G102" s="29">
        <v>1710</v>
      </c>
      <c r="H102" s="29">
        <v>4660</v>
      </c>
      <c r="I102" s="29">
        <v>1190</v>
      </c>
      <c r="J102" s="29">
        <v>5964800</v>
      </c>
      <c r="K102" s="29">
        <v>270</v>
      </c>
      <c r="L102" s="29">
        <v>339</v>
      </c>
      <c r="N102" s="34"/>
      <c r="O102" s="29">
        <f t="shared" si="11"/>
        <v>304.5</v>
      </c>
      <c r="P102" s="32" cm="1">
        <f t="array" ref="P102">WPNFACTOR(C102)</f>
        <v>2</v>
      </c>
      <c r="Q102" s="34" cm="1">
        <f t="array" ref="Q102">HPFACTOr(C102)</f>
        <v>5</v>
      </c>
      <c r="R102" s="33">
        <f t="shared" si="12"/>
        <v>152.25</v>
      </c>
      <c r="S102" s="34">
        <f t="shared" si="13"/>
        <v>1192960</v>
      </c>
      <c r="T102" s="33">
        <f t="shared" si="14"/>
        <v>152.25</v>
      </c>
      <c r="U102" s="42">
        <f t="shared" si="15"/>
        <v>1192960</v>
      </c>
      <c r="V102" s="44"/>
      <c r="W102" s="29">
        <f t="shared" si="17"/>
        <v>181628160</v>
      </c>
      <c r="X102" s="41">
        <f t="shared" si="16"/>
        <v>27.436412657447978</v>
      </c>
      <c r="Y102" s="33">
        <f t="shared" si="18"/>
        <v>116.09026319924114</v>
      </c>
      <c r="Z102" s="33">
        <v>1.33</v>
      </c>
      <c r="AA102" s="29">
        <f t="shared" si="19"/>
        <v>154.40005005499071</v>
      </c>
      <c r="AB102" s="48">
        <f t="shared" si="20"/>
        <v>566.318906964088</v>
      </c>
      <c r="AC102" s="29">
        <v>143</v>
      </c>
      <c r="AD102" s="47">
        <f t="shared" si="21"/>
        <v>0.25250790365907394</v>
      </c>
    </row>
    <row r="103" spans="1:30" x14ac:dyDescent="0.2">
      <c r="A103" s="30" t="s">
        <v>8850</v>
      </c>
      <c r="B103" s="29">
        <v>2</v>
      </c>
      <c r="C103" s="29">
        <v>3</v>
      </c>
      <c r="D103" s="29">
        <v>260</v>
      </c>
      <c r="E103" s="29">
        <v>1270</v>
      </c>
      <c r="F103" s="29">
        <v>5040</v>
      </c>
      <c r="G103" s="29">
        <v>1260</v>
      </c>
      <c r="H103" s="29">
        <v>4760</v>
      </c>
      <c r="I103" s="29">
        <v>1835</v>
      </c>
      <c r="J103" s="29">
        <v>4969440</v>
      </c>
      <c r="K103" s="29">
        <v>306</v>
      </c>
      <c r="L103" s="29">
        <v>488</v>
      </c>
      <c r="N103" s="34"/>
      <c r="O103" s="29">
        <f t="shared" si="11"/>
        <v>397</v>
      </c>
      <c r="P103" s="32" cm="1">
        <f t="array" ref="P103">WPNFACTOR(C103)</f>
        <v>2.5</v>
      </c>
      <c r="Q103" s="34" cm="1">
        <f t="array" ref="Q103">HPFACTOr(C103)</f>
        <v>4</v>
      </c>
      <c r="R103" s="33">
        <f t="shared" si="12"/>
        <v>158.80000000000001</v>
      </c>
      <c r="S103" s="34">
        <f t="shared" si="13"/>
        <v>1242360</v>
      </c>
      <c r="T103" s="33">
        <f t="shared" si="14"/>
        <v>158.80000000000001</v>
      </c>
      <c r="U103" s="42">
        <f t="shared" si="15"/>
        <v>1242360</v>
      </c>
      <c r="V103" s="44"/>
      <c r="W103" s="29">
        <f t="shared" si="17"/>
        <v>197286768</v>
      </c>
      <c r="X103" s="41">
        <f t="shared" si="16"/>
        <v>27.555718957020787</v>
      </c>
      <c r="Y103" s="33">
        <f t="shared" si="18"/>
        <v>118.5153189239969</v>
      </c>
      <c r="Z103" s="33">
        <v>1.33</v>
      </c>
      <c r="AA103" s="29">
        <f t="shared" si="19"/>
        <v>157.6253741689159</v>
      </c>
      <c r="AB103" s="48">
        <f t="shared" si="20"/>
        <v>582.14698522995263</v>
      </c>
      <c r="AC103" s="29">
        <v>145</v>
      </c>
      <c r="AD103" s="47">
        <f t="shared" si="21"/>
        <v>0.24907798834125003</v>
      </c>
    </row>
    <row r="104" spans="1:30" x14ac:dyDescent="0.2">
      <c r="A104" s="30" t="s">
        <v>8850</v>
      </c>
      <c r="B104" s="29">
        <v>3</v>
      </c>
      <c r="C104" s="29">
        <v>1</v>
      </c>
      <c r="D104" s="29">
        <v>265</v>
      </c>
      <c r="E104" s="29">
        <v>5140</v>
      </c>
      <c r="F104" s="29">
        <v>1805</v>
      </c>
      <c r="G104" s="29">
        <v>1780</v>
      </c>
      <c r="H104" s="29">
        <v>4860</v>
      </c>
      <c r="I104" s="29">
        <v>1230</v>
      </c>
      <c r="J104" s="29">
        <v>6463800</v>
      </c>
      <c r="K104" s="29">
        <v>280</v>
      </c>
      <c r="L104" s="29">
        <v>369</v>
      </c>
      <c r="N104" s="34"/>
      <c r="O104" s="29">
        <f t="shared" si="11"/>
        <v>324.5</v>
      </c>
      <c r="P104" s="32" cm="1">
        <f t="array" ref="P104">WPNFACTOR(C104)</f>
        <v>2</v>
      </c>
      <c r="Q104" s="34" cm="1">
        <f t="array" ref="Q104">HPFACTOr(C104)</f>
        <v>5</v>
      </c>
      <c r="R104" s="33">
        <f t="shared" si="12"/>
        <v>162.25</v>
      </c>
      <c r="S104" s="34">
        <f t="shared" si="13"/>
        <v>1292760</v>
      </c>
      <c r="T104" s="33">
        <f t="shared" si="14"/>
        <v>162.25</v>
      </c>
      <c r="U104" s="42">
        <f t="shared" si="15"/>
        <v>1292760</v>
      </c>
      <c r="V104" s="44"/>
      <c r="W104" s="29">
        <f t="shared" si="17"/>
        <v>209750310</v>
      </c>
      <c r="X104" s="41">
        <f t="shared" si="16"/>
        <v>27.644097701993473</v>
      </c>
      <c r="Y104" s="33">
        <f t="shared" si="18"/>
        <v>120.34433538951815</v>
      </c>
      <c r="Z104" s="33">
        <v>1.33</v>
      </c>
      <c r="AA104" s="29">
        <f t="shared" si="19"/>
        <v>160.05796606805916</v>
      </c>
      <c r="AB104" s="48">
        <f t="shared" si="20"/>
        <v>594.15652440733686</v>
      </c>
      <c r="AC104" s="29">
        <v>148</v>
      </c>
      <c r="AD104" s="47">
        <f t="shared" si="21"/>
        <v>0.24909261098769891</v>
      </c>
    </row>
    <row r="105" spans="1:30" x14ac:dyDescent="0.2">
      <c r="A105" s="30" t="s">
        <v>8850</v>
      </c>
      <c r="B105" s="29">
        <v>4</v>
      </c>
      <c r="C105" s="29">
        <v>1</v>
      </c>
      <c r="D105" s="29">
        <v>270</v>
      </c>
      <c r="E105" s="29">
        <v>5240</v>
      </c>
      <c r="F105" s="29">
        <v>1840</v>
      </c>
      <c r="G105" s="29">
        <v>1815</v>
      </c>
      <c r="H105" s="29">
        <v>4960</v>
      </c>
      <c r="I105" s="29">
        <v>1250</v>
      </c>
      <c r="J105" s="29">
        <v>6720800</v>
      </c>
      <c r="K105" s="29">
        <v>285</v>
      </c>
      <c r="L105" s="29">
        <v>384</v>
      </c>
      <c r="N105" s="34"/>
      <c r="O105" s="29">
        <f t="shared" si="11"/>
        <v>334.5</v>
      </c>
      <c r="P105" s="32" cm="1">
        <f t="array" ref="P105">WPNFACTOR(C105)</f>
        <v>2</v>
      </c>
      <c r="Q105" s="34" cm="1">
        <f t="array" ref="Q105">HPFACTOr(C105)</f>
        <v>5</v>
      </c>
      <c r="R105" s="33">
        <f t="shared" si="12"/>
        <v>167.25</v>
      </c>
      <c r="S105" s="34">
        <f t="shared" si="13"/>
        <v>1344160</v>
      </c>
      <c r="T105" s="33">
        <f t="shared" si="14"/>
        <v>167.25</v>
      </c>
      <c r="U105" s="42">
        <f t="shared" si="15"/>
        <v>1344160</v>
      </c>
      <c r="V105" s="44"/>
      <c r="W105" s="29">
        <f t="shared" si="17"/>
        <v>224810760</v>
      </c>
      <c r="X105" s="41">
        <f t="shared" si="16"/>
        <v>27.744135847269568</v>
      </c>
      <c r="Y105" s="33">
        <f t="shared" si="18"/>
        <v>122.44872671073301</v>
      </c>
      <c r="Z105" s="33">
        <v>1.33</v>
      </c>
      <c r="AA105" s="29">
        <f t="shared" si="19"/>
        <v>162.85680652527492</v>
      </c>
      <c r="AB105" s="48">
        <f t="shared" si="20"/>
        <v>608.04963381739822</v>
      </c>
      <c r="AC105" s="29">
        <v>153</v>
      </c>
      <c r="AD105" s="47">
        <f t="shared" si="21"/>
        <v>0.25162419560957588</v>
      </c>
    </row>
    <row r="106" spans="1:30" x14ac:dyDescent="0.2">
      <c r="A106" s="30" t="s">
        <v>8850</v>
      </c>
      <c r="B106" s="29">
        <v>5</v>
      </c>
      <c r="C106" s="29">
        <v>2</v>
      </c>
      <c r="D106" s="29">
        <v>275</v>
      </c>
      <c r="E106" s="29">
        <v>1325</v>
      </c>
      <c r="F106" s="29">
        <v>1345</v>
      </c>
      <c r="G106" s="29">
        <v>5420</v>
      </c>
      <c r="H106" s="29">
        <v>4980</v>
      </c>
      <c r="I106" s="29">
        <v>1935</v>
      </c>
      <c r="J106" s="29">
        <v>2748960</v>
      </c>
      <c r="K106" s="29">
        <v>609</v>
      </c>
      <c r="L106" s="29">
        <v>939</v>
      </c>
      <c r="N106" s="34"/>
      <c r="O106" s="29">
        <f t="shared" si="11"/>
        <v>774</v>
      </c>
      <c r="P106" s="32" cm="1">
        <f t="array" ref="P106">WPNFACTOR(C106)</f>
        <v>4.5</v>
      </c>
      <c r="Q106" s="34" cm="1">
        <f t="array" ref="Q106">HPFACTOr(C106)</f>
        <v>2</v>
      </c>
      <c r="R106" s="33">
        <f t="shared" si="12"/>
        <v>172</v>
      </c>
      <c r="S106" s="34">
        <f t="shared" si="13"/>
        <v>1374480</v>
      </c>
      <c r="T106" s="33">
        <f t="shared" si="14"/>
        <v>172</v>
      </c>
      <c r="U106" s="42">
        <f t="shared" si="15"/>
        <v>1374480</v>
      </c>
      <c r="V106" s="44"/>
      <c r="W106" s="29">
        <f t="shared" si="17"/>
        <v>236410560</v>
      </c>
      <c r="X106" s="41">
        <f t="shared" si="16"/>
        <v>27.816719238435713</v>
      </c>
      <c r="Y106" s="33">
        <f t="shared" si="18"/>
        <v>123.99858176211433</v>
      </c>
      <c r="Z106" s="33">
        <v>1.33</v>
      </c>
      <c r="AA106" s="29">
        <f t="shared" si="19"/>
        <v>164.91811374361205</v>
      </c>
      <c r="AB106" s="48">
        <f t="shared" si="20"/>
        <v>618.33280845698266</v>
      </c>
      <c r="AC106" s="29">
        <v>156</v>
      </c>
      <c r="AD106" s="47">
        <f t="shared" si="21"/>
        <v>0.25229131928045334</v>
      </c>
    </row>
    <row r="107" spans="1:30" x14ac:dyDescent="0.2">
      <c r="A107" s="30" t="s">
        <v>8850</v>
      </c>
      <c r="B107" s="29">
        <v>6</v>
      </c>
      <c r="C107" s="29">
        <v>3</v>
      </c>
      <c r="D107" s="29">
        <v>280</v>
      </c>
      <c r="E107" s="29">
        <v>1370</v>
      </c>
      <c r="F107" s="29">
        <v>5440</v>
      </c>
      <c r="G107" s="29">
        <v>1360</v>
      </c>
      <c r="H107" s="29">
        <v>5160</v>
      </c>
      <c r="I107" s="29">
        <v>1975</v>
      </c>
      <c r="J107" s="29">
        <v>5799840</v>
      </c>
      <c r="K107" s="29">
        <v>346</v>
      </c>
      <c r="L107" s="29">
        <v>548</v>
      </c>
      <c r="N107" s="34"/>
      <c r="O107" s="29">
        <f t="shared" si="11"/>
        <v>447</v>
      </c>
      <c r="P107" s="32" cm="1">
        <f t="array" ref="P107">WPNFACTOR(C107)</f>
        <v>2.5</v>
      </c>
      <c r="Q107" s="34" cm="1">
        <f t="array" ref="Q107">HPFACTOr(C107)</f>
        <v>4</v>
      </c>
      <c r="R107" s="33">
        <f t="shared" si="12"/>
        <v>178.8</v>
      </c>
      <c r="S107" s="34">
        <f t="shared" si="13"/>
        <v>1449960</v>
      </c>
      <c r="T107" s="33">
        <f t="shared" si="14"/>
        <v>178.8</v>
      </c>
      <c r="U107" s="42">
        <f t="shared" si="15"/>
        <v>1449960</v>
      </c>
      <c r="V107" s="44"/>
      <c r="W107" s="29">
        <f t="shared" si="17"/>
        <v>259252848.00000003</v>
      </c>
      <c r="X107" s="41">
        <f t="shared" si="16"/>
        <v>27.949784596827499</v>
      </c>
      <c r="Y107" s="33">
        <f t="shared" si="18"/>
        <v>126.89101870598689</v>
      </c>
      <c r="Z107" s="33">
        <v>1.33</v>
      </c>
      <c r="AA107" s="29">
        <f t="shared" si="19"/>
        <v>168.76505487896259</v>
      </c>
      <c r="AB107" s="48">
        <f t="shared" si="20"/>
        <v>637.63847141985855</v>
      </c>
      <c r="AC107" s="29">
        <v>158</v>
      </c>
      <c r="AD107" s="47">
        <f t="shared" si="21"/>
        <v>0.24778931492037207</v>
      </c>
    </row>
    <row r="108" spans="1:30" x14ac:dyDescent="0.2">
      <c r="A108" s="30" t="s">
        <v>8850</v>
      </c>
      <c r="B108" s="29">
        <v>7</v>
      </c>
      <c r="C108" s="29">
        <v>1</v>
      </c>
      <c r="D108" s="29">
        <v>285</v>
      </c>
      <c r="E108" s="29">
        <v>5540</v>
      </c>
      <c r="F108" s="29">
        <v>1945</v>
      </c>
      <c r="G108" s="29">
        <v>1920</v>
      </c>
      <c r="H108" s="29">
        <v>5260</v>
      </c>
      <c r="I108" s="29">
        <v>1310</v>
      </c>
      <c r="J108" s="29">
        <v>7521800</v>
      </c>
      <c r="K108" s="29">
        <v>300</v>
      </c>
      <c r="L108" s="29">
        <v>429</v>
      </c>
      <c r="N108" s="34"/>
      <c r="O108" s="29">
        <f t="shared" si="11"/>
        <v>364.5</v>
      </c>
      <c r="P108" s="32" cm="1">
        <f t="array" ref="P108">WPNFACTOR(C108)</f>
        <v>2</v>
      </c>
      <c r="Q108" s="34" cm="1">
        <f t="array" ref="Q108">HPFACTOr(C108)</f>
        <v>5</v>
      </c>
      <c r="R108" s="33">
        <f t="shared" si="12"/>
        <v>182.25</v>
      </c>
      <c r="S108" s="34">
        <f t="shared" si="13"/>
        <v>1504360</v>
      </c>
      <c r="T108" s="33">
        <f t="shared" si="14"/>
        <v>182.25</v>
      </c>
      <c r="U108" s="42">
        <f t="shared" si="15"/>
        <v>1504360</v>
      </c>
      <c r="V108" s="44"/>
      <c r="W108" s="29">
        <f t="shared" si="17"/>
        <v>274169610</v>
      </c>
      <c r="X108" s="41">
        <f t="shared" si="16"/>
        <v>28.030493425284991</v>
      </c>
      <c r="Y108" s="33">
        <f t="shared" si="18"/>
        <v>128.67815596309202</v>
      </c>
      <c r="Z108" s="33">
        <v>1.33</v>
      </c>
      <c r="AA108" s="29">
        <f t="shared" si="19"/>
        <v>171.14194743091241</v>
      </c>
      <c r="AB108" s="48">
        <f t="shared" si="20"/>
        <v>649.6405191754244</v>
      </c>
      <c r="AC108" s="29">
        <v>164</v>
      </c>
      <c r="AD108" s="47">
        <f t="shared" si="21"/>
        <v>0.25244730764048073</v>
      </c>
    </row>
    <row r="109" spans="1:30" x14ac:dyDescent="0.2">
      <c r="A109" s="30" t="s">
        <v>8850</v>
      </c>
      <c r="B109" s="29">
        <v>8</v>
      </c>
      <c r="C109" s="29">
        <v>3</v>
      </c>
      <c r="D109" s="29">
        <v>290</v>
      </c>
      <c r="E109" s="29">
        <v>1420</v>
      </c>
      <c r="F109" s="29">
        <v>5640</v>
      </c>
      <c r="G109" s="29">
        <v>1410</v>
      </c>
      <c r="H109" s="29">
        <v>5360</v>
      </c>
      <c r="I109" s="29">
        <v>2045</v>
      </c>
      <c r="J109" s="29">
        <v>6239040</v>
      </c>
      <c r="K109" s="29">
        <v>366</v>
      </c>
      <c r="L109" s="29">
        <v>578</v>
      </c>
      <c r="N109" s="34"/>
      <c r="O109" s="29">
        <f t="shared" si="11"/>
        <v>472</v>
      </c>
      <c r="P109" s="32" cm="1">
        <f t="array" ref="P109">WPNFACTOR(C109)</f>
        <v>2.5</v>
      </c>
      <c r="Q109" s="34" cm="1">
        <f t="array" ref="Q109">HPFACTOr(C109)</f>
        <v>4</v>
      </c>
      <c r="R109" s="33">
        <f t="shared" si="12"/>
        <v>188.8</v>
      </c>
      <c r="S109" s="34">
        <f t="shared" si="13"/>
        <v>1559760</v>
      </c>
      <c r="T109" s="33">
        <f t="shared" si="14"/>
        <v>188.8</v>
      </c>
      <c r="U109" s="42">
        <f t="shared" si="15"/>
        <v>1559760</v>
      </c>
      <c r="V109" s="44"/>
      <c r="W109" s="29">
        <f t="shared" si="17"/>
        <v>294482688</v>
      </c>
      <c r="X109" s="41">
        <f t="shared" si="16"/>
        <v>28.133607582727898</v>
      </c>
      <c r="Y109" s="33">
        <f t="shared" si="18"/>
        <v>130.99808355420598</v>
      </c>
      <c r="Z109" s="33">
        <v>1.33</v>
      </c>
      <c r="AA109" s="29">
        <f t="shared" si="19"/>
        <v>174.22745112709396</v>
      </c>
      <c r="AB109" s="48">
        <f t="shared" si="20"/>
        <v>665.30367572705836</v>
      </c>
      <c r="AC109" s="29">
        <v>166</v>
      </c>
      <c r="AD109" s="47">
        <f t="shared" si="21"/>
        <v>0.24951012004945197</v>
      </c>
    </row>
    <row r="110" spans="1:30" x14ac:dyDescent="0.2">
      <c r="A110" s="30" t="s">
        <v>8850</v>
      </c>
      <c r="B110" s="29">
        <v>9</v>
      </c>
      <c r="C110" s="29">
        <v>2</v>
      </c>
      <c r="D110" s="29">
        <v>295</v>
      </c>
      <c r="E110" s="29">
        <v>1425</v>
      </c>
      <c r="F110" s="29">
        <v>1445</v>
      </c>
      <c r="G110" s="29">
        <v>5820</v>
      </c>
      <c r="H110" s="29">
        <v>5380</v>
      </c>
      <c r="I110" s="29">
        <v>2075</v>
      </c>
      <c r="J110" s="29">
        <v>3184960</v>
      </c>
      <c r="K110" s="29">
        <v>653</v>
      </c>
      <c r="L110" s="29">
        <v>1079</v>
      </c>
      <c r="N110" s="34"/>
      <c r="O110" s="29">
        <f t="shared" si="11"/>
        <v>866</v>
      </c>
      <c r="P110" s="32" cm="1">
        <f t="array" ref="P110">WPNFACTOR(C110)</f>
        <v>4.5</v>
      </c>
      <c r="Q110" s="34" cm="1">
        <f t="array" ref="Q110">HPFACTOr(C110)</f>
        <v>2</v>
      </c>
      <c r="R110" s="33">
        <f t="shared" si="12"/>
        <v>192.44444444444446</v>
      </c>
      <c r="S110" s="34">
        <f t="shared" si="13"/>
        <v>1592480</v>
      </c>
      <c r="T110" s="33">
        <f t="shared" si="14"/>
        <v>192.44444444444446</v>
      </c>
      <c r="U110" s="42">
        <f t="shared" si="15"/>
        <v>1592480</v>
      </c>
      <c r="V110" s="44"/>
      <c r="W110" s="29">
        <f t="shared" si="17"/>
        <v>306463928.8888889</v>
      </c>
      <c r="X110" s="41">
        <f t="shared" si="16"/>
        <v>28.191142036357348</v>
      </c>
      <c r="Y110" s="33">
        <f t="shared" si="18"/>
        <v>132.31066165250016</v>
      </c>
      <c r="Z110" s="33">
        <v>1.33</v>
      </c>
      <c r="AA110" s="29">
        <f t="shared" si="19"/>
        <v>175.97317999782521</v>
      </c>
      <c r="AB110" s="48">
        <f t="shared" si="20"/>
        <v>674.20678942284269</v>
      </c>
      <c r="AC110" s="29">
        <v>169</v>
      </c>
      <c r="AD110" s="47">
        <f t="shared" si="21"/>
        <v>0.25066493344671464</v>
      </c>
    </row>
    <row r="111" spans="1:30" x14ac:dyDescent="0.2">
      <c r="A111" s="30" t="s">
        <v>8850</v>
      </c>
      <c r="B111" s="29">
        <v>10</v>
      </c>
      <c r="C111" s="29">
        <v>1</v>
      </c>
      <c r="D111" s="29">
        <v>300</v>
      </c>
      <c r="E111" s="29">
        <v>5840</v>
      </c>
      <c r="F111" s="29">
        <v>2050</v>
      </c>
      <c r="G111" s="29">
        <v>2025</v>
      </c>
      <c r="H111" s="29">
        <v>5560</v>
      </c>
      <c r="I111" s="29">
        <v>1370</v>
      </c>
      <c r="J111" s="29">
        <v>8367800</v>
      </c>
      <c r="K111" s="29">
        <v>315</v>
      </c>
      <c r="L111" s="29">
        <v>474</v>
      </c>
      <c r="N111" s="34"/>
      <c r="O111" s="29">
        <f t="shared" si="11"/>
        <v>394.5</v>
      </c>
      <c r="P111" s="32" cm="1">
        <f t="array" ref="P111">WPNFACTOR(C111)</f>
        <v>2</v>
      </c>
      <c r="Q111" s="34" cm="1">
        <f t="array" ref="Q111">HPFACTOr(C111)</f>
        <v>5</v>
      </c>
      <c r="R111" s="33">
        <f t="shared" si="12"/>
        <v>197.25</v>
      </c>
      <c r="S111" s="34">
        <f t="shared" si="13"/>
        <v>1673560</v>
      </c>
      <c r="T111" s="33">
        <f t="shared" si="14"/>
        <v>197.25</v>
      </c>
      <c r="U111" s="42">
        <f t="shared" si="15"/>
        <v>1673560</v>
      </c>
      <c r="V111" s="44"/>
      <c r="W111" s="29">
        <f t="shared" si="17"/>
        <v>330109710</v>
      </c>
      <c r="X111" s="41">
        <f t="shared" si="16"/>
        <v>28.298370334384032</v>
      </c>
      <c r="Y111" s="33">
        <f t="shared" si="18"/>
        <v>134.79214198913024</v>
      </c>
      <c r="Z111" s="33">
        <v>1.33</v>
      </c>
      <c r="AA111" s="29">
        <f t="shared" si="19"/>
        <v>179.27354884554325</v>
      </c>
      <c r="AB111" s="48">
        <f t="shared" si="20"/>
        <v>691.11889457001735</v>
      </c>
      <c r="AC111" s="29">
        <v>172</v>
      </c>
      <c r="AD111" s="47">
        <f t="shared" si="21"/>
        <v>0.24887179521695837</v>
      </c>
    </row>
    <row r="112" spans="1:30" x14ac:dyDescent="0.2">
      <c r="A112" s="30" t="s">
        <v>8851</v>
      </c>
      <c r="B112" s="29">
        <v>1</v>
      </c>
      <c r="C112" s="29">
        <v>2</v>
      </c>
      <c r="D112" s="29">
        <v>305</v>
      </c>
      <c r="E112" s="29">
        <v>1475</v>
      </c>
      <c r="F112" s="29">
        <v>1495</v>
      </c>
      <c r="G112" s="29">
        <v>6020</v>
      </c>
      <c r="H112" s="29">
        <v>5580</v>
      </c>
      <c r="I112" s="29">
        <v>2145</v>
      </c>
      <c r="J112" s="29">
        <v>3414960</v>
      </c>
      <c r="K112" s="29">
        <v>669</v>
      </c>
      <c r="L112" s="29">
        <v>1150</v>
      </c>
      <c r="N112" s="34"/>
      <c r="O112" s="29">
        <f t="shared" si="11"/>
        <v>909.5</v>
      </c>
      <c r="P112" s="32" cm="1">
        <f t="array" ref="P112">WPNFACTOR(C112)</f>
        <v>4.5</v>
      </c>
      <c r="Q112" s="34" cm="1">
        <f t="array" ref="Q112">HPFACTOr(C112)</f>
        <v>2</v>
      </c>
      <c r="R112" s="33">
        <f t="shared" si="12"/>
        <v>202.11111111111111</v>
      </c>
      <c r="S112" s="34">
        <f t="shared" si="13"/>
        <v>1707480</v>
      </c>
      <c r="T112" s="33">
        <f t="shared" si="14"/>
        <v>202.11111111111111</v>
      </c>
      <c r="U112" s="42">
        <f t="shared" si="15"/>
        <v>1707480</v>
      </c>
      <c r="V112" s="44"/>
      <c r="W112" s="29">
        <f t="shared" si="17"/>
        <v>345100680</v>
      </c>
      <c r="X112" s="41">
        <f t="shared" si="16"/>
        <v>28.362442075618379</v>
      </c>
      <c r="Y112" s="33">
        <f t="shared" si="18"/>
        <v>136.29704926300755</v>
      </c>
      <c r="Z112" s="33">
        <v>1.33</v>
      </c>
      <c r="AA112" s="29">
        <f t="shared" si="19"/>
        <v>181.27507551980005</v>
      </c>
      <c r="AB112" s="48">
        <f t="shared" si="20"/>
        <v>701.42612655909545</v>
      </c>
      <c r="AC112" s="29">
        <v>174</v>
      </c>
      <c r="AD112" s="47">
        <f t="shared" si="21"/>
        <v>0.24806603776447786</v>
      </c>
    </row>
    <row r="113" spans="1:30" x14ac:dyDescent="0.2">
      <c r="A113" s="30" t="s">
        <v>8851</v>
      </c>
      <c r="B113" s="29">
        <v>2</v>
      </c>
      <c r="C113" s="29">
        <v>2</v>
      </c>
      <c r="D113" s="29">
        <v>310</v>
      </c>
      <c r="E113" s="29">
        <v>1500</v>
      </c>
      <c r="F113" s="29">
        <v>1520</v>
      </c>
      <c r="G113" s="29">
        <v>6120</v>
      </c>
      <c r="H113" s="29">
        <v>5680</v>
      </c>
      <c r="I113" s="29">
        <v>2180</v>
      </c>
      <c r="J113" s="29">
        <v>3532960</v>
      </c>
      <c r="K113" s="29">
        <v>679</v>
      </c>
      <c r="L113" s="29">
        <v>1185</v>
      </c>
      <c r="N113" s="34"/>
      <c r="O113" s="29">
        <f t="shared" si="11"/>
        <v>932</v>
      </c>
      <c r="P113" s="32" cm="1">
        <f t="array" ref="P113">WPNFACTOR(C113)</f>
        <v>4.5</v>
      </c>
      <c r="Q113" s="34" cm="1">
        <f t="array" ref="Q113">HPFACTOr(C113)</f>
        <v>2</v>
      </c>
      <c r="R113" s="33">
        <f t="shared" si="12"/>
        <v>207.11111111111111</v>
      </c>
      <c r="S113" s="34">
        <f t="shared" si="13"/>
        <v>1766480</v>
      </c>
      <c r="T113" s="33">
        <f t="shared" si="14"/>
        <v>207.11111111111111</v>
      </c>
      <c r="U113" s="42">
        <f t="shared" si="15"/>
        <v>1766480</v>
      </c>
      <c r="V113" s="44"/>
      <c r="W113" s="29">
        <f t="shared" si="17"/>
        <v>365857635.55555558</v>
      </c>
      <c r="X113" s="41">
        <f t="shared" si="16"/>
        <v>28.446707127734619</v>
      </c>
      <c r="Y113" s="33">
        <f t="shared" si="18"/>
        <v>138.3018631597551</v>
      </c>
      <c r="Z113" s="33">
        <v>1.33</v>
      </c>
      <c r="AA113" s="29">
        <f t="shared" si="19"/>
        <v>183.9414780024743</v>
      </c>
      <c r="AB113" s="48">
        <f t="shared" si="20"/>
        <v>715.2162519664887</v>
      </c>
      <c r="AC113" s="29">
        <v>177</v>
      </c>
      <c r="AD113" s="47">
        <f t="shared" si="21"/>
        <v>0.24747759787803772</v>
      </c>
    </row>
    <row r="114" spans="1:30" x14ac:dyDescent="0.2">
      <c r="A114" s="30" t="s">
        <v>8851</v>
      </c>
      <c r="B114" s="29">
        <v>3</v>
      </c>
      <c r="C114" s="29">
        <v>1</v>
      </c>
      <c r="D114" s="29">
        <v>315</v>
      </c>
      <c r="E114" s="29">
        <v>6140</v>
      </c>
      <c r="F114" s="29">
        <v>2155</v>
      </c>
      <c r="G114" s="29">
        <v>2130</v>
      </c>
      <c r="H114" s="29">
        <v>5860</v>
      </c>
      <c r="I114" s="29">
        <v>1430</v>
      </c>
      <c r="J114" s="29">
        <v>9258800</v>
      </c>
      <c r="K114" s="29">
        <v>330</v>
      </c>
      <c r="L114" s="29">
        <v>519</v>
      </c>
      <c r="N114" s="34"/>
      <c r="O114" s="29">
        <f t="shared" si="11"/>
        <v>424.5</v>
      </c>
      <c r="P114" s="32" cm="1">
        <f t="array" ref="P114">WPNFACTOR(C114)</f>
        <v>2</v>
      </c>
      <c r="Q114" s="34" cm="1">
        <f t="array" ref="Q114">HPFACTOr(C114)</f>
        <v>5</v>
      </c>
      <c r="R114" s="33">
        <f t="shared" si="12"/>
        <v>212.25</v>
      </c>
      <c r="S114" s="34">
        <f t="shared" si="13"/>
        <v>1851760</v>
      </c>
      <c r="T114" s="33">
        <f t="shared" si="14"/>
        <v>212.25</v>
      </c>
      <c r="U114" s="42">
        <f t="shared" si="15"/>
        <v>1851760</v>
      </c>
      <c r="V114" s="44"/>
      <c r="W114" s="29">
        <f t="shared" si="17"/>
        <v>393036060</v>
      </c>
      <c r="X114" s="41">
        <f t="shared" si="16"/>
        <v>28.550086441039753</v>
      </c>
      <c r="Y114" s="33">
        <f t="shared" si="18"/>
        <v>140.80176516623334</v>
      </c>
      <c r="Z114" s="33">
        <v>1.33</v>
      </c>
      <c r="AA114" s="29">
        <f t="shared" si="19"/>
        <v>187.26634767109036</v>
      </c>
      <c r="AB114" s="48">
        <f t="shared" si="20"/>
        <v>732.50534694617966</v>
      </c>
      <c r="AC114" s="29">
        <v>183</v>
      </c>
      <c r="AD114" s="47">
        <f t="shared" si="21"/>
        <v>0.24982752789850393</v>
      </c>
    </row>
    <row r="115" spans="1:30" x14ac:dyDescent="0.2">
      <c r="A115" s="30" t="s">
        <v>8851</v>
      </c>
      <c r="B115" s="29">
        <v>4</v>
      </c>
      <c r="C115" s="29">
        <v>3</v>
      </c>
      <c r="D115" s="29">
        <v>320</v>
      </c>
      <c r="E115" s="29">
        <v>1570</v>
      </c>
      <c r="F115" s="29">
        <v>6240</v>
      </c>
      <c r="G115" s="29">
        <v>1560</v>
      </c>
      <c r="H115" s="29">
        <v>5960</v>
      </c>
      <c r="I115" s="29">
        <v>2255</v>
      </c>
      <c r="J115" s="29">
        <v>7652640</v>
      </c>
      <c r="K115" s="29">
        <v>426</v>
      </c>
      <c r="L115" s="29">
        <v>667</v>
      </c>
      <c r="N115" s="34"/>
      <c r="O115" s="29">
        <f t="shared" si="11"/>
        <v>546.5</v>
      </c>
      <c r="P115" s="32" cm="1">
        <f t="array" ref="P115">WPNFACTOR(C115)</f>
        <v>2.5</v>
      </c>
      <c r="Q115" s="34" cm="1">
        <f t="array" ref="Q115">HPFACTOr(C115)</f>
        <v>4</v>
      </c>
      <c r="R115" s="33">
        <f t="shared" si="12"/>
        <v>218.6</v>
      </c>
      <c r="S115" s="34">
        <f t="shared" si="13"/>
        <v>1913160</v>
      </c>
      <c r="T115" s="33">
        <f t="shared" si="14"/>
        <v>218.6</v>
      </c>
      <c r="U115" s="42">
        <f t="shared" si="15"/>
        <v>1913160</v>
      </c>
      <c r="V115" s="44"/>
      <c r="W115" s="29">
        <f t="shared" si="17"/>
        <v>418216776</v>
      </c>
      <c r="X115" s="41">
        <f t="shared" si="16"/>
        <v>28.639675693256368</v>
      </c>
      <c r="Y115" s="33">
        <f t="shared" si="18"/>
        <v>143.00471685743793</v>
      </c>
      <c r="Z115" s="33">
        <v>1.33</v>
      </c>
      <c r="AA115" s="29">
        <f t="shared" si="19"/>
        <v>190.19627342039246</v>
      </c>
      <c r="AB115" s="48">
        <f t="shared" si="20"/>
        <v>747.8258671741221</v>
      </c>
      <c r="AC115" s="29">
        <v>185</v>
      </c>
      <c r="AD115" s="47">
        <f t="shared" si="21"/>
        <v>0.24738379363510973</v>
      </c>
    </row>
    <row r="116" spans="1:30" x14ac:dyDescent="0.2">
      <c r="A116" s="30" t="s">
        <v>8851</v>
      </c>
      <c r="B116" s="29">
        <v>5</v>
      </c>
      <c r="C116" s="29">
        <v>2</v>
      </c>
      <c r="D116" s="29">
        <v>325</v>
      </c>
      <c r="E116" s="29">
        <v>1575</v>
      </c>
      <c r="F116" s="29">
        <v>1595</v>
      </c>
      <c r="G116" s="29">
        <v>6420</v>
      </c>
      <c r="H116" s="29">
        <v>5980</v>
      </c>
      <c r="I116" s="29">
        <v>2285</v>
      </c>
      <c r="J116" s="29">
        <v>3898960</v>
      </c>
      <c r="K116" s="29">
        <v>711</v>
      </c>
      <c r="L116" s="29">
        <v>1289</v>
      </c>
      <c r="N116" s="34"/>
      <c r="O116" s="29">
        <f t="shared" si="11"/>
        <v>1000</v>
      </c>
      <c r="P116" s="32" cm="1">
        <f t="array" ref="P116">WPNFACTOR(C116)</f>
        <v>4.5</v>
      </c>
      <c r="Q116" s="34" cm="1">
        <f t="array" ref="Q116">HPFACTOr(C116)</f>
        <v>2</v>
      </c>
      <c r="R116" s="33">
        <f t="shared" si="12"/>
        <v>222.22222222222223</v>
      </c>
      <c r="S116" s="34">
        <f t="shared" si="13"/>
        <v>1949480</v>
      </c>
      <c r="T116" s="33">
        <f t="shared" si="14"/>
        <v>222.22222222222223</v>
      </c>
      <c r="U116" s="42">
        <f t="shared" si="15"/>
        <v>1949480</v>
      </c>
      <c r="V116" s="44"/>
      <c r="W116" s="29">
        <f t="shared" si="17"/>
        <v>433217777.77777779</v>
      </c>
      <c r="X116" s="41">
        <f t="shared" si="16"/>
        <v>28.69051720653632</v>
      </c>
      <c r="Y116" s="33">
        <f t="shared" si="18"/>
        <v>144.27017798191602</v>
      </c>
      <c r="Z116" s="33">
        <v>1.33</v>
      </c>
      <c r="AA116" s="29">
        <f t="shared" si="19"/>
        <v>191.87933671594831</v>
      </c>
      <c r="AB116" s="48">
        <f t="shared" si="20"/>
        <v>756.66228938668064</v>
      </c>
      <c r="AC116" s="29">
        <v>188</v>
      </c>
      <c r="AD116" s="47">
        <f t="shared" si="21"/>
        <v>0.24845958710640262</v>
      </c>
    </row>
    <row r="117" spans="1:30" x14ac:dyDescent="0.2">
      <c r="A117" s="30" t="s">
        <v>8851</v>
      </c>
      <c r="B117" s="29">
        <v>6</v>
      </c>
      <c r="C117" s="29">
        <v>1</v>
      </c>
      <c r="D117" s="29">
        <v>330</v>
      </c>
      <c r="E117" s="29">
        <v>6440</v>
      </c>
      <c r="F117" s="29">
        <v>2260</v>
      </c>
      <c r="G117" s="29">
        <v>2235</v>
      </c>
      <c r="H117" s="29">
        <v>6160</v>
      </c>
      <c r="I117" s="29">
        <v>1490</v>
      </c>
      <c r="J117" s="29">
        <v>10194800</v>
      </c>
      <c r="K117" s="29">
        <v>345</v>
      </c>
      <c r="L117" s="29">
        <v>564</v>
      </c>
      <c r="N117" s="34"/>
      <c r="O117" s="29">
        <f t="shared" si="11"/>
        <v>454.5</v>
      </c>
      <c r="P117" s="32" cm="1">
        <f t="array" ref="P117">WPNFACTOR(C117)</f>
        <v>2</v>
      </c>
      <c r="Q117" s="34" cm="1">
        <f t="array" ref="Q117">HPFACTOr(C117)</f>
        <v>5</v>
      </c>
      <c r="R117" s="33">
        <f t="shared" si="12"/>
        <v>227.25</v>
      </c>
      <c r="S117" s="34">
        <f t="shared" si="13"/>
        <v>2038960</v>
      </c>
      <c r="T117" s="33">
        <f t="shared" si="14"/>
        <v>227.25</v>
      </c>
      <c r="U117" s="42">
        <f t="shared" si="15"/>
        <v>2038960</v>
      </c>
      <c r="V117" s="44"/>
      <c r="W117" s="29">
        <f t="shared" si="17"/>
        <v>463353660</v>
      </c>
      <c r="X117" s="41">
        <f t="shared" si="16"/>
        <v>28.787538526583592</v>
      </c>
      <c r="Y117" s="33">
        <f t="shared" si="18"/>
        <v>146.71622681101596</v>
      </c>
      <c r="Z117" s="33">
        <v>1.33</v>
      </c>
      <c r="AA117" s="29">
        <f t="shared" si="19"/>
        <v>195.13258165865125</v>
      </c>
      <c r="AB117" s="48">
        <f t="shared" si="20"/>
        <v>773.81569234928645</v>
      </c>
      <c r="AC117" s="29">
        <v>194</v>
      </c>
      <c r="AD117" s="47">
        <f t="shared" si="21"/>
        <v>0.25070569376930119</v>
      </c>
    </row>
    <row r="118" spans="1:30" x14ac:dyDescent="0.2">
      <c r="A118" s="30" t="s">
        <v>8851</v>
      </c>
      <c r="B118" s="29">
        <v>7</v>
      </c>
      <c r="C118" s="29">
        <v>3</v>
      </c>
      <c r="D118" s="29">
        <v>335</v>
      </c>
      <c r="E118" s="29">
        <v>1645</v>
      </c>
      <c r="F118" s="29">
        <v>6540</v>
      </c>
      <c r="G118" s="29">
        <v>1635</v>
      </c>
      <c r="H118" s="29">
        <v>6260</v>
      </c>
      <c r="I118" s="29">
        <v>2360</v>
      </c>
      <c r="J118" s="29">
        <v>8413440</v>
      </c>
      <c r="K118" s="29">
        <v>457</v>
      </c>
      <c r="L118" s="29">
        <v>713</v>
      </c>
      <c r="N118" s="34"/>
      <c r="O118" s="29">
        <f t="shared" si="11"/>
        <v>585</v>
      </c>
      <c r="P118" s="32" cm="1">
        <f t="array" ref="P118">WPNFACTOR(C118)</f>
        <v>2.5</v>
      </c>
      <c r="Q118" s="34" cm="1">
        <f t="array" ref="Q118">HPFACTOr(C118)</f>
        <v>4</v>
      </c>
      <c r="R118" s="33">
        <f t="shared" si="12"/>
        <v>234</v>
      </c>
      <c r="S118" s="34">
        <f t="shared" si="13"/>
        <v>2103360</v>
      </c>
      <c r="T118" s="33">
        <f t="shared" si="14"/>
        <v>234</v>
      </c>
      <c r="U118" s="42">
        <f t="shared" si="15"/>
        <v>2103360</v>
      </c>
      <c r="V118" s="44"/>
      <c r="W118" s="29">
        <f t="shared" si="17"/>
        <v>492186240</v>
      </c>
      <c r="X118" s="41">
        <f t="shared" si="16"/>
        <v>28.874629084182146</v>
      </c>
      <c r="Y118" s="33">
        <f t="shared" si="18"/>
        <v>148.94720806185805</v>
      </c>
      <c r="Z118" s="33">
        <v>1.33</v>
      </c>
      <c r="AA118" s="29">
        <f t="shared" si="19"/>
        <v>198.0997867222712</v>
      </c>
      <c r="AB118" s="48">
        <f t="shared" si="20"/>
        <v>789.54427596144853</v>
      </c>
      <c r="AC118" s="29">
        <v>196</v>
      </c>
      <c r="AD118" s="47">
        <f t="shared" si="21"/>
        <v>0.24824446958509797</v>
      </c>
    </row>
    <row r="119" spans="1:30" x14ac:dyDescent="0.2">
      <c r="A119" s="30" t="s">
        <v>8851</v>
      </c>
      <c r="B119" s="29">
        <v>8</v>
      </c>
      <c r="C119" s="29">
        <v>1</v>
      </c>
      <c r="D119" s="29">
        <v>340</v>
      </c>
      <c r="E119" s="29">
        <v>6640</v>
      </c>
      <c r="F119" s="29">
        <v>2330</v>
      </c>
      <c r="G119" s="29">
        <v>2305</v>
      </c>
      <c r="H119" s="29">
        <v>6360</v>
      </c>
      <c r="I119" s="29">
        <v>1530</v>
      </c>
      <c r="J119" s="29">
        <v>10843800</v>
      </c>
      <c r="K119" s="29">
        <v>356</v>
      </c>
      <c r="L119" s="29">
        <v>594</v>
      </c>
      <c r="N119" s="34"/>
      <c r="O119" s="29">
        <f t="shared" si="11"/>
        <v>475</v>
      </c>
      <c r="P119" s="32" cm="1">
        <f t="array" ref="P119">WPNFACTOR(C119)</f>
        <v>2</v>
      </c>
      <c r="Q119" s="34" cm="1">
        <f t="array" ref="Q119">HPFACTOr(C119)</f>
        <v>5</v>
      </c>
      <c r="R119" s="33">
        <f t="shared" si="12"/>
        <v>237.5</v>
      </c>
      <c r="S119" s="34">
        <f t="shared" si="13"/>
        <v>2168760</v>
      </c>
      <c r="T119" s="33">
        <f t="shared" si="14"/>
        <v>237.5</v>
      </c>
      <c r="U119" s="42">
        <f t="shared" si="15"/>
        <v>2168760</v>
      </c>
      <c r="V119" s="44"/>
      <c r="W119" s="29">
        <f t="shared" si="17"/>
        <v>515080500</v>
      </c>
      <c r="X119" s="41">
        <f t="shared" si="16"/>
        <v>28.940222682414202</v>
      </c>
      <c r="Y119" s="33">
        <f t="shared" si="18"/>
        <v>150.64987551747208</v>
      </c>
      <c r="Z119" s="33">
        <v>1.33</v>
      </c>
      <c r="AA119" s="29">
        <f t="shared" si="19"/>
        <v>200.36433443823788</v>
      </c>
      <c r="AB119" s="48">
        <f t="shared" si="20"/>
        <v>801.60122006300344</v>
      </c>
      <c r="AC119" s="29">
        <v>203</v>
      </c>
      <c r="AD119" s="47">
        <f t="shared" si="21"/>
        <v>0.25324312752922806</v>
      </c>
    </row>
    <row r="120" spans="1:30" x14ac:dyDescent="0.2">
      <c r="A120" s="30" t="s">
        <v>8851</v>
      </c>
      <c r="B120" s="29">
        <v>9</v>
      </c>
      <c r="C120" s="29">
        <v>1</v>
      </c>
      <c r="D120" s="29">
        <v>345</v>
      </c>
      <c r="E120" s="29">
        <v>6740</v>
      </c>
      <c r="F120" s="29">
        <v>2365</v>
      </c>
      <c r="G120" s="29">
        <v>2340</v>
      </c>
      <c r="H120" s="29">
        <v>6460</v>
      </c>
      <c r="I120" s="29">
        <v>1550</v>
      </c>
      <c r="J120" s="29">
        <v>11175800</v>
      </c>
      <c r="K120" s="29">
        <v>360</v>
      </c>
      <c r="L120" s="29">
        <v>609</v>
      </c>
      <c r="N120" s="34"/>
      <c r="O120" s="29">
        <f t="shared" si="11"/>
        <v>484.5</v>
      </c>
      <c r="P120" s="32" cm="1">
        <f t="array" ref="P120">WPNFACTOR(C120)</f>
        <v>2</v>
      </c>
      <c r="Q120" s="34" cm="1">
        <f t="array" ref="Q120">HPFACTOr(C120)</f>
        <v>5</v>
      </c>
      <c r="R120" s="33">
        <f t="shared" si="12"/>
        <v>242.25</v>
      </c>
      <c r="S120" s="34">
        <f t="shared" si="13"/>
        <v>2235160</v>
      </c>
      <c r="T120" s="33">
        <f t="shared" si="14"/>
        <v>242.25</v>
      </c>
      <c r="U120" s="42">
        <f t="shared" si="15"/>
        <v>2235160</v>
      </c>
      <c r="V120" s="44"/>
      <c r="W120" s="29">
        <f t="shared" si="17"/>
        <v>541467510</v>
      </c>
      <c r="X120" s="41">
        <f t="shared" si="16"/>
        <v>29.012299532633097</v>
      </c>
      <c r="Y120" s="33">
        <f t="shared" si="18"/>
        <v>152.54328710694429</v>
      </c>
      <c r="Z120" s="33">
        <v>1.33</v>
      </c>
      <c r="AA120" s="29">
        <f t="shared" si="19"/>
        <v>202.88257185223591</v>
      </c>
      <c r="AB120" s="48">
        <f t="shared" si="20"/>
        <v>815.06229089679812</v>
      </c>
      <c r="AC120" s="29">
        <v>206</v>
      </c>
      <c r="AD120" s="47">
        <f t="shared" si="21"/>
        <v>0.25274141903110492</v>
      </c>
    </row>
    <row r="121" spans="1:30" x14ac:dyDescent="0.2">
      <c r="A121" s="30" t="s">
        <v>8851</v>
      </c>
      <c r="B121" s="29">
        <v>10</v>
      </c>
      <c r="C121" s="29">
        <v>1</v>
      </c>
      <c r="D121" s="29">
        <v>350</v>
      </c>
      <c r="E121" s="29">
        <v>6840</v>
      </c>
      <c r="F121" s="29">
        <v>2400</v>
      </c>
      <c r="G121" s="29">
        <v>2375</v>
      </c>
      <c r="H121" s="29">
        <v>6560</v>
      </c>
      <c r="I121" s="29">
        <v>1570</v>
      </c>
      <c r="J121" s="29">
        <v>11512800</v>
      </c>
      <c r="K121" s="29">
        <v>365</v>
      </c>
      <c r="L121" s="29">
        <v>624</v>
      </c>
      <c r="N121" s="34"/>
      <c r="O121" s="29">
        <f t="shared" si="11"/>
        <v>494.5</v>
      </c>
      <c r="P121" s="32" cm="1">
        <f t="array" ref="P121">WPNFACTOR(C121)</f>
        <v>2</v>
      </c>
      <c r="Q121" s="34" cm="1">
        <f t="array" ref="Q121">HPFACTOr(C121)</f>
        <v>5</v>
      </c>
      <c r="R121" s="33">
        <f t="shared" si="12"/>
        <v>247.25</v>
      </c>
      <c r="S121" s="34">
        <f t="shared" si="13"/>
        <v>2302560</v>
      </c>
      <c r="T121" s="33">
        <f t="shared" si="14"/>
        <v>247.25</v>
      </c>
      <c r="U121" s="42">
        <f t="shared" si="15"/>
        <v>2302560</v>
      </c>
      <c r="V121" s="44"/>
      <c r="W121" s="29">
        <f t="shared" si="17"/>
        <v>569307960</v>
      </c>
      <c r="X121" s="41">
        <f t="shared" si="16"/>
        <v>29.08463403056912</v>
      </c>
      <c r="Y121" s="33">
        <f t="shared" si="18"/>
        <v>154.46739198923842</v>
      </c>
      <c r="Z121" s="33">
        <v>1.33</v>
      </c>
      <c r="AA121" s="29">
        <f t="shared" si="19"/>
        <v>205.44163134568711</v>
      </c>
      <c r="AB121" s="48">
        <f t="shared" si="20"/>
        <v>828.79874613461482</v>
      </c>
      <c r="AC121" s="29">
        <v>209</v>
      </c>
      <c r="AD121" s="47">
        <f t="shared" si="21"/>
        <v>0.25217219617517844</v>
      </c>
    </row>
    <row r="122" spans="1:30" x14ac:dyDescent="0.2">
      <c r="A122" s="30" t="s">
        <v>8852</v>
      </c>
      <c r="B122" s="29">
        <v>1</v>
      </c>
      <c r="C122" s="29">
        <v>1</v>
      </c>
      <c r="D122" s="29">
        <v>355</v>
      </c>
      <c r="E122" s="29">
        <v>7570</v>
      </c>
      <c r="F122" s="29">
        <v>2655</v>
      </c>
      <c r="G122" s="29">
        <v>2630</v>
      </c>
      <c r="H122" s="29">
        <v>7290</v>
      </c>
      <c r="I122" s="29">
        <v>1716</v>
      </c>
      <c r="J122" s="29">
        <v>12976200</v>
      </c>
      <c r="K122" s="29">
        <v>401</v>
      </c>
      <c r="L122" s="29">
        <v>733</v>
      </c>
      <c r="N122" s="34"/>
      <c r="O122" s="29">
        <f t="shared" si="11"/>
        <v>567</v>
      </c>
      <c r="P122" s="32" cm="1">
        <f t="array" ref="P122">WPNFACTOR(C122)</f>
        <v>2</v>
      </c>
      <c r="Q122" s="34" cm="1">
        <f t="array" ref="Q122">HPFACTOr(C122)</f>
        <v>5</v>
      </c>
      <c r="R122" s="33">
        <f t="shared" si="12"/>
        <v>283.5</v>
      </c>
      <c r="S122" s="34">
        <f t="shared" si="13"/>
        <v>2595240</v>
      </c>
      <c r="T122" s="33">
        <f t="shared" si="14"/>
        <v>283.5</v>
      </c>
      <c r="U122" s="42">
        <f t="shared" si="15"/>
        <v>2595240</v>
      </c>
      <c r="V122" s="44"/>
      <c r="W122" s="29">
        <f t="shared" si="17"/>
        <v>735750540</v>
      </c>
      <c r="X122" s="41">
        <f t="shared" si="16"/>
        <v>29.454641455122928</v>
      </c>
      <c r="Y122" s="33">
        <f t="shared" si="18"/>
        <v>164.69584674198259</v>
      </c>
      <c r="Z122" s="33">
        <v>1.33</v>
      </c>
      <c r="AA122" s="29">
        <f t="shared" si="19"/>
        <v>219.04547616683686</v>
      </c>
      <c r="AB122" s="48">
        <f t="shared" si="20"/>
        <v>902.76946908189177</v>
      </c>
      <c r="AC122" s="29">
        <v>217</v>
      </c>
      <c r="AD122" s="47">
        <f t="shared" si="21"/>
        <v>0.24037144302264343</v>
      </c>
    </row>
    <row r="123" spans="1:30" x14ac:dyDescent="0.2">
      <c r="A123" s="30" t="s">
        <v>8852</v>
      </c>
      <c r="B123" s="29">
        <v>2</v>
      </c>
      <c r="C123" s="29">
        <v>2</v>
      </c>
      <c r="D123" s="29">
        <v>360</v>
      </c>
      <c r="E123" s="29">
        <v>1970</v>
      </c>
      <c r="F123" s="29">
        <v>1990</v>
      </c>
      <c r="G123" s="29">
        <v>8000</v>
      </c>
      <c r="H123" s="29">
        <v>7560</v>
      </c>
      <c r="I123" s="29">
        <v>2838</v>
      </c>
      <c r="J123" s="29">
        <v>5458320</v>
      </c>
      <c r="K123" s="29">
        <v>870</v>
      </c>
      <c r="L123" s="29">
        <v>1843</v>
      </c>
      <c r="N123" s="34"/>
      <c r="O123" s="29">
        <f t="shared" si="11"/>
        <v>1356.5</v>
      </c>
      <c r="P123" s="32" cm="1">
        <f t="array" ref="P123">WPNFACTOR(C123)</f>
        <v>4.5</v>
      </c>
      <c r="Q123" s="34" cm="1">
        <f t="array" ref="Q123">HPFACTOr(C123)</f>
        <v>2</v>
      </c>
      <c r="R123" s="33">
        <f t="shared" si="12"/>
        <v>301.44444444444446</v>
      </c>
      <c r="S123" s="34">
        <f t="shared" si="13"/>
        <v>2729160</v>
      </c>
      <c r="T123" s="33">
        <f t="shared" si="14"/>
        <v>301.44444444444446</v>
      </c>
      <c r="U123" s="42">
        <f t="shared" si="15"/>
        <v>2729160</v>
      </c>
      <c r="V123" s="44"/>
      <c r="W123" s="29">
        <f t="shared" si="17"/>
        <v>822690120</v>
      </c>
      <c r="X123" s="41">
        <f t="shared" si="16"/>
        <v>29.615773876835163</v>
      </c>
      <c r="Y123" s="33">
        <f t="shared" si="18"/>
        <v>169.35930797624641</v>
      </c>
      <c r="Z123" s="33">
        <v>1.33</v>
      </c>
      <c r="AA123" s="29">
        <f t="shared" si="19"/>
        <v>225.24787960840774</v>
      </c>
      <c r="AB123" s="48">
        <f t="shared" si="20"/>
        <v>937.01259215085406</v>
      </c>
      <c r="AC123" s="29">
        <v>219</v>
      </c>
      <c r="AD123" s="47">
        <f t="shared" si="21"/>
        <v>0.23372151221287127</v>
      </c>
    </row>
    <row r="124" spans="1:30" x14ac:dyDescent="0.2">
      <c r="A124" s="30" t="s">
        <v>8852</v>
      </c>
      <c r="B124" s="29">
        <v>3</v>
      </c>
      <c r="C124" s="29">
        <v>1</v>
      </c>
      <c r="D124" s="29">
        <v>365</v>
      </c>
      <c r="E124" s="29">
        <v>8290</v>
      </c>
      <c r="F124" s="29">
        <v>2908</v>
      </c>
      <c r="G124" s="29">
        <v>2882</v>
      </c>
      <c r="H124" s="29">
        <v>8010</v>
      </c>
      <c r="I124" s="29">
        <v>1860</v>
      </c>
      <c r="J124" s="29">
        <v>14658300</v>
      </c>
      <c r="K124" s="29">
        <v>438</v>
      </c>
      <c r="L124" s="29">
        <v>841</v>
      </c>
      <c r="N124" s="34"/>
      <c r="O124" s="29">
        <f t="shared" si="11"/>
        <v>639.5</v>
      </c>
      <c r="P124" s="32" cm="1">
        <f t="array" ref="P124">WPNFACTOR(C124)</f>
        <v>2</v>
      </c>
      <c r="Q124" s="34" cm="1">
        <f t="array" ref="Q124">HPFACTOr(C124)</f>
        <v>5</v>
      </c>
      <c r="R124" s="33">
        <f t="shared" si="12"/>
        <v>319.75</v>
      </c>
      <c r="S124" s="34">
        <f t="shared" si="13"/>
        <v>2931660</v>
      </c>
      <c r="T124" s="33">
        <f t="shared" si="14"/>
        <v>319.75</v>
      </c>
      <c r="U124" s="42">
        <f t="shared" si="15"/>
        <v>2931660</v>
      </c>
      <c r="V124" s="44"/>
      <c r="W124" s="29">
        <f t="shared" si="17"/>
        <v>937398285</v>
      </c>
      <c r="X124" s="41">
        <f t="shared" si="16"/>
        <v>29.804086914461752</v>
      </c>
      <c r="Y124" s="33">
        <f t="shared" si="18"/>
        <v>174.97702918023194</v>
      </c>
      <c r="Z124" s="33">
        <v>1.33</v>
      </c>
      <c r="AA124" s="29">
        <f t="shared" si="19"/>
        <v>232.7194488097085</v>
      </c>
      <c r="AB124" s="48">
        <f t="shared" si="20"/>
        <v>978.6815133887435</v>
      </c>
      <c r="AC124" s="29">
        <v>225</v>
      </c>
      <c r="AD124" s="47">
        <f t="shared" si="21"/>
        <v>0.22990114447030269</v>
      </c>
    </row>
    <row r="125" spans="1:30" x14ac:dyDescent="0.2">
      <c r="A125" s="30" t="s">
        <v>8852</v>
      </c>
      <c r="B125" s="29">
        <v>4</v>
      </c>
      <c r="C125" s="29">
        <v>2</v>
      </c>
      <c r="D125" s="29">
        <v>370</v>
      </c>
      <c r="E125" s="29">
        <v>2160</v>
      </c>
      <c r="F125" s="29">
        <v>2180</v>
      </c>
      <c r="G125" s="29">
        <v>8760</v>
      </c>
      <c r="H125" s="29">
        <v>8320</v>
      </c>
      <c r="I125" s="29">
        <v>3104</v>
      </c>
      <c r="J125" s="29">
        <v>6173440</v>
      </c>
      <c r="K125" s="29">
        <v>943</v>
      </c>
      <c r="L125" s="29">
        <v>2108</v>
      </c>
      <c r="N125" s="34"/>
      <c r="O125" s="29">
        <f t="shared" si="11"/>
        <v>1525.5</v>
      </c>
      <c r="P125" s="32" cm="1">
        <f t="array" ref="P125">WPNFACTOR(C125)</f>
        <v>4.5</v>
      </c>
      <c r="Q125" s="34" cm="1">
        <f t="array" ref="Q125">HPFACTOr(C125)</f>
        <v>2</v>
      </c>
      <c r="R125" s="33">
        <f t="shared" si="12"/>
        <v>339</v>
      </c>
      <c r="S125" s="34">
        <f t="shared" si="13"/>
        <v>3086720</v>
      </c>
      <c r="T125" s="33">
        <f t="shared" si="14"/>
        <v>339</v>
      </c>
      <c r="U125" s="42">
        <f t="shared" si="15"/>
        <v>3086720</v>
      </c>
      <c r="V125" s="44"/>
      <c r="W125" s="29">
        <f t="shared" si="17"/>
        <v>1046398080</v>
      </c>
      <c r="X125" s="41">
        <f t="shared" si="16"/>
        <v>29.962784652785601</v>
      </c>
      <c r="Y125" s="33">
        <f t="shared" si="18"/>
        <v>179.85571137296012</v>
      </c>
      <c r="Z125" s="33">
        <v>1.33</v>
      </c>
      <c r="AA125" s="29">
        <f t="shared" si="19"/>
        <v>239.20809612603696</v>
      </c>
      <c r="AB125" s="48">
        <f t="shared" si="20"/>
        <v>1015.2328099676982</v>
      </c>
      <c r="AC125" s="29">
        <v>227</v>
      </c>
      <c r="AD125" s="47">
        <f t="shared" si="21"/>
        <v>0.223594034561612</v>
      </c>
    </row>
    <row r="126" spans="1:30" x14ac:dyDescent="0.2">
      <c r="A126" s="30" t="s">
        <v>8852</v>
      </c>
      <c r="B126" s="29">
        <v>5</v>
      </c>
      <c r="C126" s="29">
        <v>1</v>
      </c>
      <c r="D126" s="29">
        <v>375</v>
      </c>
      <c r="E126" s="29">
        <v>9340</v>
      </c>
      <c r="F126" s="29">
        <v>3275</v>
      </c>
      <c r="G126" s="29">
        <v>3250</v>
      </c>
      <c r="H126" s="29">
        <v>9060</v>
      </c>
      <c r="I126" s="29">
        <v>2070</v>
      </c>
      <c r="J126" s="29">
        <v>17032800</v>
      </c>
      <c r="K126" s="29">
        <v>490</v>
      </c>
      <c r="L126" s="29">
        <v>999</v>
      </c>
      <c r="N126" s="34"/>
      <c r="O126" s="29">
        <f t="shared" si="11"/>
        <v>744.5</v>
      </c>
      <c r="P126" s="32" cm="1">
        <f t="array" ref="P126">WPNFACTOR(C126)</f>
        <v>2</v>
      </c>
      <c r="Q126" s="34" cm="1">
        <f t="array" ref="Q126">HPFACTOr(C126)</f>
        <v>5</v>
      </c>
      <c r="R126" s="33">
        <f t="shared" si="12"/>
        <v>372.25</v>
      </c>
      <c r="S126" s="34">
        <f t="shared" si="13"/>
        <v>3406560</v>
      </c>
      <c r="T126" s="33">
        <f t="shared" si="14"/>
        <v>372.25</v>
      </c>
      <c r="U126" s="42">
        <f t="shared" si="15"/>
        <v>3406560</v>
      </c>
      <c r="V126" s="44"/>
      <c r="W126" s="29">
        <f t="shared" si="17"/>
        <v>1268091960</v>
      </c>
      <c r="X126" s="41">
        <f t="shared" si="16"/>
        <v>30.240012225193336</v>
      </c>
      <c r="Y126" s="33">
        <f t="shared" si="18"/>
        <v>188.70685958163423</v>
      </c>
      <c r="Z126" s="33">
        <v>1.33</v>
      </c>
      <c r="AA126" s="29">
        <f t="shared" si="19"/>
        <v>250.98012324357356</v>
      </c>
      <c r="AB126" s="48">
        <f t="shared" si="20"/>
        <v>1082.3895308690355</v>
      </c>
      <c r="AC126" s="29">
        <v>232</v>
      </c>
      <c r="AD126" s="47">
        <f t="shared" si="21"/>
        <v>0.21434058015484539</v>
      </c>
    </row>
    <row r="127" spans="1:30" x14ac:dyDescent="0.2">
      <c r="A127" s="30" t="s">
        <v>8852</v>
      </c>
      <c r="B127" s="29">
        <v>6</v>
      </c>
      <c r="C127" s="29">
        <v>3</v>
      </c>
      <c r="D127" s="29">
        <v>380</v>
      </c>
      <c r="E127" s="29">
        <v>2682</v>
      </c>
      <c r="F127" s="29">
        <v>10690</v>
      </c>
      <c r="G127" s="29">
        <v>2672</v>
      </c>
      <c r="H127" s="29">
        <v>10410</v>
      </c>
      <c r="I127" s="29">
        <v>3812</v>
      </c>
      <c r="J127" s="29">
        <v>15864840</v>
      </c>
      <c r="K127" s="29">
        <v>871</v>
      </c>
      <c r="L127" s="29">
        <v>1335</v>
      </c>
      <c r="N127" s="34"/>
      <c r="O127" s="29">
        <f t="shared" si="11"/>
        <v>1103</v>
      </c>
      <c r="P127" s="32" cm="1">
        <f t="array" ref="P127">WPNFACTOR(C127)</f>
        <v>2.5</v>
      </c>
      <c r="Q127" s="34" cm="1">
        <f t="array" ref="Q127">HPFACTOr(C127)</f>
        <v>4</v>
      </c>
      <c r="R127" s="33">
        <f t="shared" si="12"/>
        <v>441.2</v>
      </c>
      <c r="S127" s="34">
        <f t="shared" si="13"/>
        <v>3966210</v>
      </c>
      <c r="T127" s="33">
        <f t="shared" si="14"/>
        <v>441.2</v>
      </c>
      <c r="U127" s="42">
        <f t="shared" si="15"/>
        <v>3966210</v>
      </c>
      <c r="V127" s="44"/>
      <c r="W127" s="29">
        <f t="shared" si="17"/>
        <v>1749891852</v>
      </c>
      <c r="X127" s="41">
        <f t="shared" si="16"/>
        <v>30.704618616384121</v>
      </c>
      <c r="Y127" s="33">
        <f t="shared" si="18"/>
        <v>204.52801444031127</v>
      </c>
      <c r="Z127" s="33">
        <v>1.33</v>
      </c>
      <c r="AA127" s="29">
        <f t="shared" si="19"/>
        <v>272.02225920561398</v>
      </c>
      <c r="AB127" s="48">
        <f t="shared" si="20"/>
        <v>1205.0463075699859</v>
      </c>
      <c r="AC127" s="29">
        <v>236</v>
      </c>
      <c r="AD127" s="47">
        <f t="shared" si="21"/>
        <v>0.19584309625071711</v>
      </c>
    </row>
    <row r="128" spans="1:30" x14ac:dyDescent="0.2">
      <c r="A128" s="30" t="s">
        <v>8852</v>
      </c>
      <c r="B128" s="29">
        <v>7</v>
      </c>
      <c r="C128" s="29">
        <v>2</v>
      </c>
      <c r="D128" s="29">
        <v>385</v>
      </c>
      <c r="E128" s="29">
        <v>2888</v>
      </c>
      <c r="F128" s="29">
        <v>2908</v>
      </c>
      <c r="G128" s="29">
        <v>11670</v>
      </c>
      <c r="H128" s="29">
        <v>11230</v>
      </c>
      <c r="I128" s="29">
        <v>4122</v>
      </c>
      <c r="J128" s="29">
        <v>8669560</v>
      </c>
      <c r="K128" s="29">
        <v>1235</v>
      </c>
      <c r="L128" s="29">
        <v>3121</v>
      </c>
      <c r="N128" s="34"/>
      <c r="O128" s="29">
        <f t="shared" si="11"/>
        <v>2178</v>
      </c>
      <c r="P128" s="32" cm="1">
        <f t="array" ref="P128">WPNFACTOR(C128)</f>
        <v>4.5</v>
      </c>
      <c r="Q128" s="34" cm="1">
        <f t="array" ref="Q128">HPFACTOr(C128)</f>
        <v>2</v>
      </c>
      <c r="R128" s="33">
        <f t="shared" si="12"/>
        <v>484</v>
      </c>
      <c r="S128" s="34">
        <f t="shared" si="13"/>
        <v>4334780</v>
      </c>
      <c r="T128" s="33">
        <f t="shared" si="14"/>
        <v>484</v>
      </c>
      <c r="U128" s="42">
        <f t="shared" si="15"/>
        <v>4334780</v>
      </c>
      <c r="V128" s="44"/>
      <c r="W128" s="29">
        <f t="shared" si="17"/>
        <v>2098033520</v>
      </c>
      <c r="X128" s="41">
        <f t="shared" si="16"/>
        <v>30.966390581830638</v>
      </c>
      <c r="Y128" s="33">
        <f t="shared" si="18"/>
        <v>214.0193819923812</v>
      </c>
      <c r="Z128" s="33">
        <v>1.33</v>
      </c>
      <c r="AA128" s="29">
        <f t="shared" si="19"/>
        <v>284.64577804986703</v>
      </c>
      <c r="AB128" s="48">
        <f t="shared" si="20"/>
        <v>1280.1793205801769</v>
      </c>
      <c r="AC128" s="29">
        <v>238</v>
      </c>
      <c r="AD128" s="47">
        <f t="shared" si="21"/>
        <v>0.18591145488285069</v>
      </c>
    </row>
    <row r="129" spans="1:30" x14ac:dyDescent="0.2">
      <c r="A129" s="30" t="s">
        <v>8852</v>
      </c>
      <c r="B129" s="29">
        <v>8</v>
      </c>
      <c r="C129" s="29">
        <v>1</v>
      </c>
      <c r="D129" s="29">
        <v>390</v>
      </c>
      <c r="E129" s="29">
        <v>12540</v>
      </c>
      <c r="F129" s="29">
        <v>4395</v>
      </c>
      <c r="G129" s="29">
        <v>4370</v>
      </c>
      <c r="H129" s="29">
        <v>12260</v>
      </c>
      <c r="I129" s="29">
        <v>2710</v>
      </c>
      <c r="J129" s="29">
        <v>23968300</v>
      </c>
      <c r="K129" s="29">
        <v>650</v>
      </c>
      <c r="L129" s="29">
        <v>1479</v>
      </c>
      <c r="N129" s="34"/>
      <c r="O129" s="29">
        <f t="shared" si="11"/>
        <v>1064.5</v>
      </c>
      <c r="P129" s="32" cm="1">
        <f t="array" ref="P129">WPNFACTOR(C129)</f>
        <v>2</v>
      </c>
      <c r="Q129" s="34" cm="1">
        <f t="array" ref="Q129">HPFACTOr(C129)</f>
        <v>5</v>
      </c>
      <c r="R129" s="33">
        <f t="shared" si="12"/>
        <v>532.25</v>
      </c>
      <c r="S129" s="34">
        <f t="shared" si="13"/>
        <v>4793660</v>
      </c>
      <c r="T129" s="33">
        <f t="shared" si="14"/>
        <v>532.25</v>
      </c>
      <c r="U129" s="42">
        <f t="shared" si="15"/>
        <v>4793660</v>
      </c>
      <c r="V129" s="44"/>
      <c r="W129" s="29">
        <f t="shared" si="17"/>
        <v>2551425535</v>
      </c>
      <c r="X129" s="41">
        <f t="shared" si="16"/>
        <v>31.248656390337789</v>
      </c>
      <c r="Y129" s="33">
        <f t="shared" si="18"/>
        <v>224.74794241430433</v>
      </c>
      <c r="Z129" s="33">
        <v>1.33</v>
      </c>
      <c r="AA129" s="29">
        <f t="shared" si="19"/>
        <v>298.91476341102475</v>
      </c>
      <c r="AB129" s="48">
        <f t="shared" si="20"/>
        <v>1366.4517438815203</v>
      </c>
      <c r="AC129" s="29">
        <v>259</v>
      </c>
      <c r="AD129" s="47">
        <f t="shared" si="21"/>
        <v>0.18954200260617243</v>
      </c>
    </row>
    <row r="130" spans="1:30" x14ac:dyDescent="0.2">
      <c r="A130" s="30" t="s">
        <v>8852</v>
      </c>
      <c r="B130" s="29">
        <v>9</v>
      </c>
      <c r="C130" s="29">
        <v>1</v>
      </c>
      <c r="D130" s="29">
        <v>395</v>
      </c>
      <c r="E130" s="29">
        <v>13540</v>
      </c>
      <c r="F130" s="29">
        <v>4745</v>
      </c>
      <c r="G130" s="29">
        <v>4720</v>
      </c>
      <c r="H130" s="29">
        <v>13260</v>
      </c>
      <c r="I130" s="29">
        <v>2910</v>
      </c>
      <c r="J130" s="29">
        <v>26254800</v>
      </c>
      <c r="K130" s="29">
        <v>700</v>
      </c>
      <c r="L130" s="29">
        <v>1629</v>
      </c>
      <c r="N130" s="34"/>
      <c r="O130" s="29">
        <f t="shared" si="11"/>
        <v>1164.5</v>
      </c>
      <c r="P130" s="32" cm="1">
        <f t="array" ref="P130">WPNFACTOR(C130)</f>
        <v>2</v>
      </c>
      <c r="Q130" s="34" cm="1">
        <f t="array" ref="Q130">HPFACTOr(C130)</f>
        <v>5</v>
      </c>
      <c r="R130" s="33">
        <f t="shared" si="12"/>
        <v>582.25</v>
      </c>
      <c r="S130" s="34">
        <f t="shared" si="13"/>
        <v>5250960</v>
      </c>
      <c r="T130" s="33">
        <f t="shared" si="14"/>
        <v>582.25</v>
      </c>
      <c r="U130" s="42">
        <f t="shared" si="15"/>
        <v>5250960</v>
      </c>
      <c r="V130" s="44"/>
      <c r="W130" s="29">
        <f t="shared" si="17"/>
        <v>3057371460</v>
      </c>
      <c r="X130" s="41">
        <f t="shared" si="16"/>
        <v>31.509644699290426</v>
      </c>
      <c r="Y130" s="33">
        <f t="shared" si="18"/>
        <v>235.14570562377546</v>
      </c>
      <c r="Z130" s="33">
        <v>1.33</v>
      </c>
      <c r="AA130" s="29">
        <f t="shared" si="19"/>
        <v>312.7437884796214</v>
      </c>
      <c r="AB130" s="48">
        <f t="shared" si="20"/>
        <v>1451.3853521709796</v>
      </c>
      <c r="AC130" s="29">
        <v>265</v>
      </c>
      <c r="AD130" s="47">
        <f t="shared" si="21"/>
        <v>0.1825841769752006</v>
      </c>
    </row>
    <row r="131" spans="1:30" x14ac:dyDescent="0.2">
      <c r="A131" s="30" t="s">
        <v>8852</v>
      </c>
      <c r="B131" s="29">
        <v>10</v>
      </c>
      <c r="C131" s="29">
        <v>1</v>
      </c>
      <c r="D131" s="29">
        <v>400</v>
      </c>
      <c r="E131" s="29">
        <v>16840</v>
      </c>
      <c r="F131" s="29">
        <v>5900</v>
      </c>
      <c r="G131" s="29">
        <v>5875</v>
      </c>
      <c r="H131" s="29">
        <v>16560</v>
      </c>
      <c r="I131" s="29">
        <v>3570</v>
      </c>
      <c r="J131" s="29">
        <v>33202800</v>
      </c>
      <c r="K131" s="29">
        <v>866</v>
      </c>
      <c r="L131" s="29">
        <v>2124</v>
      </c>
      <c r="N131" s="34"/>
      <c r="O131" s="29">
        <f t="shared" ref="O131:O194" si="32">AVERAGE(K131, L131)</f>
        <v>1495</v>
      </c>
      <c r="P131" s="32" cm="1">
        <f t="array" ref="P131">WPNFACTOR(C131)</f>
        <v>2</v>
      </c>
      <c r="Q131" s="34" cm="1">
        <f t="array" ref="Q131">HPFACTOr(C131)</f>
        <v>5</v>
      </c>
      <c r="R131" s="33">
        <f t="shared" ref="R131:R194" si="33">O131/P131</f>
        <v>747.5</v>
      </c>
      <c r="S131" s="34">
        <f t="shared" ref="S131:S194" si="34">J131/Q131</f>
        <v>6640560</v>
      </c>
      <c r="T131" s="33">
        <f t="shared" ref="T131:T194" si="35">R131*(1 + (N131/400))</f>
        <v>747.5</v>
      </c>
      <c r="U131" s="42">
        <f t="shared" ref="U131:U194" si="36">S131*1.6/(1 + (0.6*(1 - (M131/100))))</f>
        <v>6640560</v>
      </c>
      <c r="V131" s="44"/>
      <c r="W131" s="29">
        <f t="shared" si="17"/>
        <v>4963818600</v>
      </c>
      <c r="X131" s="41">
        <f t="shared" ref="X131:X194" si="37">LOG(W131, 2)</f>
        <v>32.208803247927072</v>
      </c>
      <c r="Y131" s="33">
        <f t="shared" si="18"/>
        <v>265.43242542876294</v>
      </c>
      <c r="Z131" s="33">
        <v>1.33</v>
      </c>
      <c r="AA131" s="29">
        <f t="shared" si="19"/>
        <v>353.02512582025474</v>
      </c>
      <c r="AB131" s="48">
        <f t="shared" si="20"/>
        <v>1705.8413359329429</v>
      </c>
      <c r="AC131" s="29">
        <v>285</v>
      </c>
      <c r="AD131" s="47">
        <f t="shared" si="21"/>
        <v>0.1670729826957385</v>
      </c>
    </row>
    <row r="132" spans="1:30" x14ac:dyDescent="0.2">
      <c r="A132" s="30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4"/>
      <c r="O132" s="29">
        <f t="shared" si="32"/>
        <v>414.5</v>
      </c>
      <c r="P132" s="32" cm="1">
        <f t="array" ref="P132">WPNFACTOR(C132)</f>
        <v>2</v>
      </c>
      <c r="Q132" s="34" cm="1">
        <f t="array" ref="Q132">HPFACTOr(C132)</f>
        <v>5</v>
      </c>
      <c r="R132" s="33">
        <f t="shared" si="33"/>
        <v>207.25</v>
      </c>
      <c r="S132" s="34">
        <f t="shared" si="34"/>
        <v>1791360</v>
      </c>
      <c r="T132" s="33">
        <f t="shared" si="35"/>
        <v>207.25</v>
      </c>
      <c r="U132" s="42">
        <f t="shared" si="36"/>
        <v>1791360</v>
      </c>
      <c r="V132" s="44"/>
      <c r="W132" s="29">
        <f t="shared" ref="W132:W195" si="38">T132*U132</f>
        <v>371259360</v>
      </c>
      <c r="X132" s="41">
        <f t="shared" si="37"/>
        <v>28.467852157956028</v>
      </c>
      <c r="Y132" s="33">
        <f t="shared" ref="Y132:Y195" si="39">POWER(W132, 1/4)</f>
        <v>138.80955211417304</v>
      </c>
      <c r="Z132" s="33">
        <v>1.33</v>
      </c>
      <c r="AA132" s="29">
        <f t="shared" ref="AA132:AA195" si="40">Y132*Z132</f>
        <v>184.61670431185016</v>
      </c>
      <c r="AB132" s="48">
        <f t="shared" ref="AB132:AB195" si="41">POWER(W132, 1/$AB$1)</f>
        <v>718.71901860156731</v>
      </c>
      <c r="AC132" s="29">
        <v>180</v>
      </c>
      <c r="AD132" s="47">
        <f t="shared" ref="AD132:AD195" si="42">IF(AC132 = "", ,AC132/AB132)</f>
        <v>0.25044557795372008</v>
      </c>
    </row>
    <row r="133" spans="1:30" x14ac:dyDescent="0.2">
      <c r="A133" s="30" t="s">
        <v>8853</v>
      </c>
      <c r="B133" s="29">
        <v>2</v>
      </c>
      <c r="C133" s="29">
        <v>1</v>
      </c>
      <c r="D133" s="29">
        <v>320</v>
      </c>
      <c r="E133" s="29">
        <v>6240</v>
      </c>
      <c r="F133" s="29">
        <v>2190</v>
      </c>
      <c r="G133" s="29">
        <v>2165</v>
      </c>
      <c r="H133" s="29">
        <v>5960</v>
      </c>
      <c r="I133" s="29">
        <v>1450</v>
      </c>
      <c r="J133" s="29">
        <v>9565800</v>
      </c>
      <c r="K133" s="29">
        <v>335</v>
      </c>
      <c r="L133" s="29">
        <v>534</v>
      </c>
      <c r="N133" s="34"/>
      <c r="O133" s="29">
        <f t="shared" si="32"/>
        <v>434.5</v>
      </c>
      <c r="P133" s="32" cm="1">
        <f t="array" ref="P133">WPNFACTOR(C133)</f>
        <v>2</v>
      </c>
      <c r="Q133" s="34" cm="1">
        <f t="array" ref="Q133">HPFACTOr(C133)</f>
        <v>5</v>
      </c>
      <c r="R133" s="33">
        <f t="shared" si="33"/>
        <v>217.25</v>
      </c>
      <c r="S133" s="34">
        <f t="shared" si="34"/>
        <v>1913160</v>
      </c>
      <c r="T133" s="33">
        <f t="shared" si="35"/>
        <v>217.25</v>
      </c>
      <c r="U133" s="42">
        <f t="shared" si="36"/>
        <v>1913160</v>
      </c>
      <c r="V133" s="44"/>
      <c r="W133" s="29">
        <f t="shared" si="38"/>
        <v>415634010</v>
      </c>
      <c r="X133" s="41">
        <f t="shared" si="37"/>
        <v>28.630738469286229</v>
      </c>
      <c r="Y133" s="33">
        <f t="shared" si="39"/>
        <v>142.78341644636293</v>
      </c>
      <c r="Z133" s="33">
        <v>1.33</v>
      </c>
      <c r="AA133" s="29">
        <f t="shared" si="40"/>
        <v>189.9019438736627</v>
      </c>
      <c r="AB133" s="48">
        <f t="shared" si="41"/>
        <v>746.28324697769006</v>
      </c>
      <c r="AC133" s="29">
        <v>191</v>
      </c>
      <c r="AD133" s="47">
        <f t="shared" si="42"/>
        <v>0.2559349962276587</v>
      </c>
    </row>
    <row r="134" spans="1:30" x14ac:dyDescent="0.2">
      <c r="A134" s="30" t="s">
        <v>8853</v>
      </c>
      <c r="B134" s="29">
        <v>3</v>
      </c>
      <c r="C134" s="29">
        <v>2</v>
      </c>
      <c r="D134" s="29">
        <v>330</v>
      </c>
      <c r="E134" s="29">
        <v>3200</v>
      </c>
      <c r="F134" s="29">
        <v>3240</v>
      </c>
      <c r="G134" s="29">
        <v>13040</v>
      </c>
      <c r="H134" s="29">
        <v>12160</v>
      </c>
      <c r="I134" s="29">
        <v>4640</v>
      </c>
      <c r="J134" s="29">
        <v>8049920</v>
      </c>
      <c r="K134" s="29">
        <v>719</v>
      </c>
      <c r="L134" s="29">
        <v>1325</v>
      </c>
      <c r="N134" s="34"/>
      <c r="O134" s="29">
        <f t="shared" si="32"/>
        <v>1022</v>
      </c>
      <c r="P134" s="32" cm="1">
        <f t="array" ref="P134">WPNFACTOR(C134)</f>
        <v>4.5</v>
      </c>
      <c r="Q134" s="34" cm="1">
        <f t="array" ref="Q134">HPFACTOr(C134)</f>
        <v>2</v>
      </c>
      <c r="R134" s="33">
        <f t="shared" si="33"/>
        <v>227.11111111111111</v>
      </c>
      <c r="S134" s="34">
        <f t="shared" si="34"/>
        <v>4024960</v>
      </c>
      <c r="T134" s="33">
        <f t="shared" si="35"/>
        <v>227.11111111111111</v>
      </c>
      <c r="U134" s="42">
        <f t="shared" si="36"/>
        <v>4024960</v>
      </c>
      <c r="V134" s="44"/>
      <c r="W134" s="29">
        <f t="shared" si="38"/>
        <v>914113137.77777779</v>
      </c>
      <c r="X134" s="41">
        <f t="shared" si="37"/>
        <v>29.767797494633477</v>
      </c>
      <c r="Y134" s="33">
        <f t="shared" si="39"/>
        <v>173.88014259914351</v>
      </c>
      <c r="Z134" s="33">
        <v>1.33</v>
      </c>
      <c r="AA134" s="29">
        <f t="shared" si="40"/>
        <v>231.26058965686087</v>
      </c>
      <c r="AB134" s="48">
        <f t="shared" si="41"/>
        <v>970.50993054887579</v>
      </c>
      <c r="AC134" s="29">
        <v>201</v>
      </c>
      <c r="AD134" s="47">
        <f t="shared" si="42"/>
        <v>0.20710761803985214</v>
      </c>
    </row>
    <row r="135" spans="1:30" x14ac:dyDescent="0.2">
      <c r="A135" s="30" t="s">
        <v>8853</v>
      </c>
      <c r="B135" s="29">
        <v>4</v>
      </c>
      <c r="C135" s="29">
        <v>1</v>
      </c>
      <c r="D135" s="29">
        <v>340</v>
      </c>
      <c r="E135" s="29">
        <v>13280</v>
      </c>
      <c r="F135" s="29">
        <v>4660</v>
      </c>
      <c r="G135" s="29">
        <v>4610</v>
      </c>
      <c r="H135" s="29">
        <v>12720</v>
      </c>
      <c r="I135" s="29">
        <v>3060</v>
      </c>
      <c r="J135" s="29">
        <v>21687600</v>
      </c>
      <c r="K135" s="29">
        <v>355</v>
      </c>
      <c r="L135" s="29">
        <v>594</v>
      </c>
      <c r="N135" s="34"/>
      <c r="O135" s="29">
        <f t="shared" si="32"/>
        <v>474.5</v>
      </c>
      <c r="P135" s="32" cm="1">
        <f t="array" ref="P135">WPNFACTOR(C135)</f>
        <v>2</v>
      </c>
      <c r="Q135" s="34" cm="1">
        <f t="array" ref="Q135">HPFACTOr(C135)</f>
        <v>5</v>
      </c>
      <c r="R135" s="33">
        <f t="shared" si="33"/>
        <v>237.25</v>
      </c>
      <c r="S135" s="34">
        <f t="shared" si="34"/>
        <v>4337520</v>
      </c>
      <c r="T135" s="33">
        <f t="shared" si="35"/>
        <v>237.25</v>
      </c>
      <c r="U135" s="42">
        <f t="shared" si="36"/>
        <v>4337520</v>
      </c>
      <c r="V135" s="44"/>
      <c r="W135" s="29">
        <f t="shared" si="38"/>
        <v>1029076620</v>
      </c>
      <c r="X135" s="41">
        <f t="shared" si="37"/>
        <v>29.938703256217003</v>
      </c>
      <c r="Y135" s="33">
        <f t="shared" si="39"/>
        <v>179.10673945387813</v>
      </c>
      <c r="Z135" s="33">
        <v>1.33</v>
      </c>
      <c r="AA135" s="29">
        <f t="shared" si="40"/>
        <v>238.21196347365793</v>
      </c>
      <c r="AB135" s="48">
        <f t="shared" si="41"/>
        <v>1009.5997564531518</v>
      </c>
      <c r="AC135" s="29">
        <v>244</v>
      </c>
      <c r="AD135" s="47">
        <f t="shared" si="42"/>
        <v>0.24167993151781456</v>
      </c>
    </row>
    <row r="136" spans="1:30" x14ac:dyDescent="0.2">
      <c r="A136" s="30" t="s">
        <v>8853</v>
      </c>
      <c r="B136" s="29">
        <v>5</v>
      </c>
      <c r="C136" s="29">
        <v>1</v>
      </c>
      <c r="D136" s="29">
        <v>350</v>
      </c>
      <c r="E136" s="29">
        <v>13680</v>
      </c>
      <c r="F136" s="29">
        <v>4800</v>
      </c>
      <c r="G136" s="29">
        <v>4750</v>
      </c>
      <c r="H136" s="29">
        <v>13120</v>
      </c>
      <c r="I136" s="29">
        <v>3140</v>
      </c>
      <c r="J136" s="29">
        <v>23025600</v>
      </c>
      <c r="K136" s="29">
        <v>365</v>
      </c>
      <c r="L136" s="29">
        <v>624</v>
      </c>
      <c r="N136" s="34"/>
      <c r="O136" s="29">
        <f t="shared" si="32"/>
        <v>494.5</v>
      </c>
      <c r="P136" s="32" cm="1">
        <f t="array" ref="P136">WPNFACTOR(C136)</f>
        <v>2</v>
      </c>
      <c r="Q136" s="34" cm="1">
        <f t="array" ref="Q136">HPFACTOr(C136)</f>
        <v>5</v>
      </c>
      <c r="R136" s="33">
        <f t="shared" si="33"/>
        <v>247.25</v>
      </c>
      <c r="S136" s="34">
        <f t="shared" si="34"/>
        <v>4605120</v>
      </c>
      <c r="T136" s="33">
        <f t="shared" si="35"/>
        <v>247.25</v>
      </c>
      <c r="U136" s="42">
        <f t="shared" si="36"/>
        <v>4605120</v>
      </c>
      <c r="V136" s="44"/>
      <c r="W136" s="29">
        <f t="shared" si="38"/>
        <v>1138615920</v>
      </c>
      <c r="X136" s="41">
        <f t="shared" si="37"/>
        <v>30.084634030569116</v>
      </c>
      <c r="Y136" s="33">
        <f t="shared" si="39"/>
        <v>183.69372158951657</v>
      </c>
      <c r="Z136" s="33">
        <v>1.33</v>
      </c>
      <c r="AA136" s="29">
        <f t="shared" si="40"/>
        <v>244.31264971405705</v>
      </c>
      <c r="AB136" s="48">
        <f t="shared" si="41"/>
        <v>1044.220986381478</v>
      </c>
      <c r="AC136" s="29">
        <v>246</v>
      </c>
      <c r="AD136" s="47">
        <f t="shared" si="42"/>
        <v>0.23558231754416256</v>
      </c>
    </row>
    <row r="137" spans="1:30" x14ac:dyDescent="0.2">
      <c r="A137" s="30" t="s">
        <v>8853</v>
      </c>
      <c r="B137" s="29">
        <v>6</v>
      </c>
      <c r="C137" s="29">
        <v>2</v>
      </c>
      <c r="D137" s="29">
        <v>360</v>
      </c>
      <c r="E137" s="29">
        <v>5910</v>
      </c>
      <c r="F137" s="29">
        <v>5970</v>
      </c>
      <c r="G137" s="29">
        <v>24000</v>
      </c>
      <c r="H137" s="29">
        <v>22680</v>
      </c>
      <c r="I137" s="29">
        <v>8514</v>
      </c>
      <c r="J137" s="29">
        <v>16374960</v>
      </c>
      <c r="K137" s="29">
        <v>867</v>
      </c>
      <c r="L137" s="29">
        <v>1842</v>
      </c>
      <c r="N137" s="34"/>
      <c r="O137" s="29">
        <f t="shared" si="32"/>
        <v>1354.5</v>
      </c>
      <c r="P137" s="32" cm="1">
        <f t="array" ref="P137">WPNFACTOR(C137)</f>
        <v>4.5</v>
      </c>
      <c r="Q137" s="34" cm="1">
        <f t="array" ref="Q137">HPFACTOr(C137)</f>
        <v>2</v>
      </c>
      <c r="R137" s="33">
        <f t="shared" si="33"/>
        <v>301</v>
      </c>
      <c r="S137" s="34">
        <f t="shared" si="34"/>
        <v>8187480</v>
      </c>
      <c r="T137" s="33">
        <f t="shared" si="35"/>
        <v>301</v>
      </c>
      <c r="U137" s="42">
        <f t="shared" si="36"/>
        <v>8187480</v>
      </c>
      <c r="V137" s="44"/>
      <c r="W137" s="29">
        <f t="shared" si="38"/>
        <v>2464431480</v>
      </c>
      <c r="X137" s="41">
        <f t="shared" si="37"/>
        <v>31.198607723476464</v>
      </c>
      <c r="Y137" s="33">
        <f t="shared" si="39"/>
        <v>222.80718255897077</v>
      </c>
      <c r="Z137" s="33">
        <v>1.33</v>
      </c>
      <c r="AA137" s="29">
        <f t="shared" si="40"/>
        <v>296.33355280343113</v>
      </c>
      <c r="AB137" s="48">
        <f t="shared" si="41"/>
        <v>1350.7415185552284</v>
      </c>
      <c r="AC137" s="29">
        <v>249</v>
      </c>
      <c r="AD137" s="47">
        <f t="shared" si="42"/>
        <v>0.18434318970689065</v>
      </c>
    </row>
    <row r="138" spans="1:30" x14ac:dyDescent="0.2">
      <c r="A138" s="30" t="s">
        <v>8853</v>
      </c>
      <c r="B138" s="29">
        <v>7</v>
      </c>
      <c r="C138" s="29">
        <v>3</v>
      </c>
      <c r="D138" s="29">
        <v>370</v>
      </c>
      <c r="E138" s="29">
        <v>6540</v>
      </c>
      <c r="F138" s="29">
        <v>26040</v>
      </c>
      <c r="G138" s="29">
        <v>6510</v>
      </c>
      <c r="H138" s="29">
        <v>25200</v>
      </c>
      <c r="I138" s="29">
        <v>9327</v>
      </c>
      <c r="J138" s="29">
        <v>37396800</v>
      </c>
      <c r="K138" s="29">
        <v>670</v>
      </c>
      <c r="L138" s="29">
        <v>1034</v>
      </c>
      <c r="N138" s="34"/>
      <c r="O138" s="29">
        <f t="shared" si="32"/>
        <v>852</v>
      </c>
      <c r="P138" s="32" cm="1">
        <f t="array" ref="P138">WPNFACTOR(C138)</f>
        <v>2.5</v>
      </c>
      <c r="Q138" s="34" cm="1">
        <f t="array" ref="Q138">HPFACTOr(C138)</f>
        <v>4</v>
      </c>
      <c r="R138" s="33">
        <f t="shared" si="33"/>
        <v>340.8</v>
      </c>
      <c r="S138" s="34">
        <f t="shared" si="34"/>
        <v>9349200</v>
      </c>
      <c r="T138" s="33">
        <f t="shared" si="35"/>
        <v>340.8</v>
      </c>
      <c r="U138" s="42">
        <f t="shared" si="36"/>
        <v>9349200</v>
      </c>
      <c r="V138" s="44"/>
      <c r="W138" s="29">
        <f t="shared" si="38"/>
        <v>3186207360</v>
      </c>
      <c r="X138" s="41">
        <f t="shared" si="37"/>
        <v>31.569193015233921</v>
      </c>
      <c r="Y138" s="33">
        <f t="shared" si="39"/>
        <v>237.5847216890632</v>
      </c>
      <c r="Z138" s="33">
        <v>1.33</v>
      </c>
      <c r="AA138" s="29">
        <f t="shared" si="40"/>
        <v>315.98767984645406</v>
      </c>
      <c r="AB138" s="48">
        <f t="shared" si="41"/>
        <v>1471.4923619741921</v>
      </c>
      <c r="AC138" s="29">
        <v>283</v>
      </c>
      <c r="AD138" s="47">
        <f t="shared" si="42"/>
        <v>0.19232175940099336</v>
      </c>
    </row>
    <row r="139" spans="1:30" x14ac:dyDescent="0.2">
      <c r="A139" s="30" t="s">
        <v>8853</v>
      </c>
      <c r="B139" s="29">
        <v>8</v>
      </c>
      <c r="C139" s="29">
        <v>1</v>
      </c>
      <c r="D139" s="29">
        <v>380</v>
      </c>
      <c r="E139" s="29">
        <v>22000</v>
      </c>
      <c r="F139" s="29">
        <v>7200</v>
      </c>
      <c r="G139" s="29">
        <v>7000</v>
      </c>
      <c r="H139" s="29">
        <v>25000</v>
      </c>
      <c r="I139" s="29">
        <v>7020</v>
      </c>
      <c r="J139" s="29">
        <v>59493152</v>
      </c>
      <c r="K139" s="29">
        <v>420</v>
      </c>
      <c r="L139" s="29">
        <v>699</v>
      </c>
      <c r="N139" s="34"/>
      <c r="O139" s="29">
        <f t="shared" si="32"/>
        <v>559.5</v>
      </c>
      <c r="P139" s="32" cm="1">
        <f t="array" ref="P139">WPNFACTOR(C139)</f>
        <v>2</v>
      </c>
      <c r="Q139" s="34" cm="1">
        <f t="array" ref="Q139">HPFACTOr(C139)</f>
        <v>5</v>
      </c>
      <c r="R139" s="33">
        <f t="shared" si="33"/>
        <v>279.75</v>
      </c>
      <c r="S139" s="34">
        <f t="shared" si="34"/>
        <v>11898630.4</v>
      </c>
      <c r="T139" s="33">
        <f t="shared" si="35"/>
        <v>279.75</v>
      </c>
      <c r="U139" s="42">
        <f t="shared" si="36"/>
        <v>11898630.4</v>
      </c>
      <c r="V139" s="44"/>
      <c r="W139" s="29">
        <f t="shared" si="38"/>
        <v>3328641854.4000001</v>
      </c>
      <c r="X139" s="41">
        <f t="shared" si="37"/>
        <v>31.632286505877186</v>
      </c>
      <c r="Y139" s="33">
        <f t="shared" si="39"/>
        <v>240.19655121091904</v>
      </c>
      <c r="Z139" s="33">
        <v>1.33</v>
      </c>
      <c r="AA139" s="29">
        <f t="shared" si="40"/>
        <v>319.46141311052236</v>
      </c>
      <c r="AB139" s="48">
        <f t="shared" si="41"/>
        <v>1493.100439277709</v>
      </c>
      <c r="AD139" s="47">
        <f t="shared" si="42"/>
        <v>0</v>
      </c>
    </row>
    <row r="140" spans="1:30" x14ac:dyDescent="0.2">
      <c r="A140" s="30" t="s">
        <v>8853</v>
      </c>
      <c r="B140" s="29">
        <v>9</v>
      </c>
      <c r="C140" s="29">
        <v>1</v>
      </c>
      <c r="D140" s="29">
        <v>390</v>
      </c>
      <c r="E140" s="29">
        <v>35000</v>
      </c>
      <c r="F140" s="29">
        <v>11800</v>
      </c>
      <c r="G140" s="29">
        <v>12000</v>
      </c>
      <c r="H140" s="29">
        <v>40040</v>
      </c>
      <c r="I140" s="29">
        <v>8000</v>
      </c>
      <c r="J140" s="29">
        <v>95873200</v>
      </c>
      <c r="K140" s="29">
        <v>440</v>
      </c>
      <c r="L140" s="29">
        <v>819</v>
      </c>
      <c r="N140" s="34"/>
      <c r="O140" s="29">
        <f t="shared" si="32"/>
        <v>629.5</v>
      </c>
      <c r="P140" s="32" cm="1">
        <f t="array" ref="P140">WPNFACTOR(C140)</f>
        <v>2</v>
      </c>
      <c r="Q140" s="34" cm="1">
        <f t="array" ref="Q140">HPFACTOr(C140)</f>
        <v>5</v>
      </c>
      <c r="R140" s="33">
        <f t="shared" si="33"/>
        <v>314.75</v>
      </c>
      <c r="S140" s="34">
        <f t="shared" si="34"/>
        <v>19174640</v>
      </c>
      <c r="T140" s="33">
        <f t="shared" si="35"/>
        <v>314.75</v>
      </c>
      <c r="U140" s="42">
        <f t="shared" si="36"/>
        <v>19174640</v>
      </c>
      <c r="V140" s="44"/>
      <c r="W140" s="29">
        <f t="shared" si="38"/>
        <v>6035217940</v>
      </c>
      <c r="X140" s="41">
        <f t="shared" si="37"/>
        <v>32.490758723604515</v>
      </c>
      <c r="Y140" s="33">
        <f t="shared" si="39"/>
        <v>278.72327699046332</v>
      </c>
      <c r="Z140" s="33">
        <v>1.33</v>
      </c>
      <c r="AA140" s="29">
        <f t="shared" si="40"/>
        <v>370.70195839731622</v>
      </c>
      <c r="AB140" s="48">
        <f t="shared" si="41"/>
        <v>1820.6689506478801</v>
      </c>
      <c r="AD140" s="47">
        <f t="shared" si="42"/>
        <v>0</v>
      </c>
    </row>
    <row r="141" spans="1:30" x14ac:dyDescent="0.2">
      <c r="A141" s="30" t="s">
        <v>8853</v>
      </c>
      <c r="B141" s="29">
        <v>10</v>
      </c>
      <c r="C141" s="29">
        <v>2</v>
      </c>
      <c r="D141" s="29">
        <v>400</v>
      </c>
      <c r="E141" s="29">
        <v>8500</v>
      </c>
      <c r="F141" s="29">
        <v>8500</v>
      </c>
      <c r="G141" s="29">
        <v>32000</v>
      </c>
      <c r="H141" s="29">
        <v>30000</v>
      </c>
      <c r="I141" s="29">
        <v>12000</v>
      </c>
      <c r="J141" s="29">
        <v>52867840</v>
      </c>
      <c r="K141" s="29">
        <v>900</v>
      </c>
      <c r="L141" s="29">
        <v>2049</v>
      </c>
      <c r="N141" s="34"/>
      <c r="O141" s="29">
        <f t="shared" si="32"/>
        <v>1474.5</v>
      </c>
      <c r="P141" s="32" cm="1">
        <f t="array" ref="P141">WPNFACTOR(C141)</f>
        <v>4.5</v>
      </c>
      <c r="Q141" s="34" cm="1">
        <f t="array" ref="Q141">HPFACTOr(C141)</f>
        <v>2</v>
      </c>
      <c r="R141" s="33">
        <f t="shared" si="33"/>
        <v>327.66666666666669</v>
      </c>
      <c r="S141" s="34">
        <f t="shared" si="34"/>
        <v>26433920</v>
      </c>
      <c r="T141" s="33">
        <f t="shared" si="35"/>
        <v>327.66666666666669</v>
      </c>
      <c r="U141" s="42">
        <f t="shared" si="36"/>
        <v>26433920</v>
      </c>
      <c r="V141" s="44"/>
      <c r="W141" s="29">
        <f t="shared" si="38"/>
        <v>8661514453.333334</v>
      </c>
      <c r="X141" s="41">
        <f t="shared" si="37"/>
        <v>33.011972154144928</v>
      </c>
      <c r="Y141" s="33">
        <f t="shared" si="39"/>
        <v>305.06926703087856</v>
      </c>
      <c r="Z141" s="33">
        <v>1.33</v>
      </c>
      <c r="AA141" s="29">
        <f t="shared" si="40"/>
        <v>405.74212515106854</v>
      </c>
      <c r="AB141" s="48">
        <f t="shared" si="41"/>
        <v>2053.6729278469484</v>
      </c>
      <c r="AD141" s="47">
        <f t="shared" si="42"/>
        <v>0</v>
      </c>
    </row>
    <row r="142" spans="1:30" x14ac:dyDescent="0.2">
      <c r="A142" s="30" t="s">
        <v>8854</v>
      </c>
      <c r="B142" s="29">
        <v>1</v>
      </c>
      <c r="C142" s="29">
        <v>3</v>
      </c>
      <c r="D142" s="29">
        <v>250</v>
      </c>
      <c r="E142" s="29">
        <v>1400</v>
      </c>
      <c r="F142" s="29">
        <v>11000</v>
      </c>
      <c r="G142" s="29">
        <v>1400</v>
      </c>
      <c r="H142" s="29">
        <v>35000</v>
      </c>
      <c r="I142" s="29">
        <v>4500</v>
      </c>
      <c r="J142" s="29">
        <v>62500000</v>
      </c>
      <c r="K142" s="29">
        <v>600</v>
      </c>
      <c r="L142" s="29">
        <v>649</v>
      </c>
      <c r="N142" s="34"/>
      <c r="O142" s="29">
        <f t="shared" si="32"/>
        <v>624.5</v>
      </c>
      <c r="P142" s="32" cm="1">
        <f t="array" ref="P142">WPNFACTOR(C142)</f>
        <v>2.5</v>
      </c>
      <c r="Q142" s="34" cm="1">
        <f t="array" ref="Q142">HPFACTOr(C142)</f>
        <v>4</v>
      </c>
      <c r="R142" s="33">
        <f t="shared" si="33"/>
        <v>249.8</v>
      </c>
      <c r="S142" s="34">
        <f t="shared" si="34"/>
        <v>15625000</v>
      </c>
      <c r="T142" s="33">
        <f t="shared" si="35"/>
        <v>249.8</v>
      </c>
      <c r="U142" s="42">
        <f t="shared" si="36"/>
        <v>15625000</v>
      </c>
      <c r="V142" s="44"/>
      <c r="W142" s="29">
        <f t="shared" si="38"/>
        <v>3903125000</v>
      </c>
      <c r="X142" s="41">
        <f t="shared" si="37"/>
        <v>31.861982520706857</v>
      </c>
      <c r="Y142" s="33">
        <f t="shared" si="39"/>
        <v>249.94998499299612</v>
      </c>
      <c r="Z142" s="33">
        <v>1.33</v>
      </c>
      <c r="AA142" s="29">
        <f t="shared" si="40"/>
        <v>332.43348004068486</v>
      </c>
      <c r="AB142" s="48">
        <f t="shared" si="41"/>
        <v>1574.4812266425085</v>
      </c>
      <c r="AC142" s="29">
        <v>263</v>
      </c>
      <c r="AD142" s="47">
        <f t="shared" si="42"/>
        <v>0.16703914632302888</v>
      </c>
    </row>
    <row r="143" spans="1:30" x14ac:dyDescent="0.2">
      <c r="A143" s="30" t="s">
        <v>8854</v>
      </c>
      <c r="B143" s="29">
        <v>2</v>
      </c>
      <c r="C143" s="29">
        <v>1</v>
      </c>
      <c r="D143" s="29">
        <v>257</v>
      </c>
      <c r="E143" s="29">
        <v>9722</v>
      </c>
      <c r="F143" s="29">
        <v>2404</v>
      </c>
      <c r="G143" s="29">
        <v>2426</v>
      </c>
      <c r="H143" s="29">
        <v>43730</v>
      </c>
      <c r="I143" s="29">
        <v>4764</v>
      </c>
      <c r="J143" s="29">
        <v>79681528</v>
      </c>
      <c r="K143" s="29">
        <v>279</v>
      </c>
      <c r="L143" s="29">
        <v>787</v>
      </c>
      <c r="N143" s="34"/>
      <c r="O143" s="29">
        <f t="shared" si="32"/>
        <v>533</v>
      </c>
      <c r="P143" s="32" cm="1">
        <f t="array" ref="P143">WPNFACTOR(C143)</f>
        <v>2</v>
      </c>
      <c r="Q143" s="34" cm="1">
        <f t="array" ref="Q143">HPFACTOr(C143)</f>
        <v>5</v>
      </c>
      <c r="R143" s="33">
        <f t="shared" si="33"/>
        <v>266.5</v>
      </c>
      <c r="S143" s="34">
        <f t="shared" si="34"/>
        <v>15936305.6</v>
      </c>
      <c r="T143" s="33">
        <f t="shared" si="35"/>
        <v>266.5</v>
      </c>
      <c r="U143" s="42">
        <f t="shared" si="36"/>
        <v>15936305.6</v>
      </c>
      <c r="V143" s="44"/>
      <c r="W143" s="29">
        <f t="shared" si="38"/>
        <v>4247025442.4000001</v>
      </c>
      <c r="X143" s="41">
        <f t="shared" si="37"/>
        <v>31.983805605363916</v>
      </c>
      <c r="Y143" s="33">
        <f t="shared" si="39"/>
        <v>255.28260074560478</v>
      </c>
      <c r="Z143" s="33">
        <v>1.33</v>
      </c>
      <c r="AA143" s="29">
        <f t="shared" si="40"/>
        <v>339.52585899165439</v>
      </c>
      <c r="AB143" s="48">
        <f t="shared" si="41"/>
        <v>1619.4279139351781</v>
      </c>
      <c r="AC143" s="29">
        <v>267</v>
      </c>
      <c r="AD143" s="47">
        <f t="shared" si="42"/>
        <v>0.16487303800463413</v>
      </c>
    </row>
    <row r="144" spans="1:30" x14ac:dyDescent="0.2">
      <c r="A144" s="30" t="s">
        <v>8854</v>
      </c>
      <c r="B144" s="29">
        <v>3</v>
      </c>
      <c r="C144" s="29">
        <v>3</v>
      </c>
      <c r="D144" s="29">
        <v>265</v>
      </c>
      <c r="E144" s="29">
        <v>1550</v>
      </c>
      <c r="F144" s="29">
        <v>11290</v>
      </c>
      <c r="G144" s="29">
        <v>1560</v>
      </c>
      <c r="H144" s="29">
        <v>44000</v>
      </c>
      <c r="I144" s="29">
        <v>4800</v>
      </c>
      <c r="J144" s="29">
        <v>68425000</v>
      </c>
      <c r="K144" s="29">
        <v>681</v>
      </c>
      <c r="L144" s="29">
        <v>727</v>
      </c>
      <c r="N144" s="34"/>
      <c r="O144" s="29">
        <f t="shared" si="32"/>
        <v>704</v>
      </c>
      <c r="P144" s="32" cm="1">
        <f t="array" ref="P144">WPNFACTOR(C144)</f>
        <v>2.5</v>
      </c>
      <c r="Q144" s="34" cm="1">
        <f t="array" ref="Q144">HPFACTOr(C144)</f>
        <v>4</v>
      </c>
      <c r="R144" s="33">
        <f t="shared" si="33"/>
        <v>281.60000000000002</v>
      </c>
      <c r="S144" s="34">
        <f t="shared" si="34"/>
        <v>17106250</v>
      </c>
      <c r="T144" s="33">
        <f t="shared" si="35"/>
        <v>281.60000000000002</v>
      </c>
      <c r="U144" s="42">
        <f t="shared" si="36"/>
        <v>17106250</v>
      </c>
      <c r="V144" s="44"/>
      <c r="W144" s="29">
        <f t="shared" si="38"/>
        <v>4817120000</v>
      </c>
      <c r="X144" s="41">
        <f t="shared" si="37"/>
        <v>32.165523717551707</v>
      </c>
      <c r="Y144" s="33">
        <f t="shared" si="39"/>
        <v>263.44918919658363</v>
      </c>
      <c r="Z144" s="33">
        <v>1.33</v>
      </c>
      <c r="AA144" s="29">
        <f t="shared" si="40"/>
        <v>350.38742163145622</v>
      </c>
      <c r="AB144" s="48">
        <f t="shared" si="41"/>
        <v>1688.8684464541134</v>
      </c>
      <c r="AC144" s="29">
        <v>272</v>
      </c>
      <c r="AD144" s="47">
        <f t="shared" si="42"/>
        <v>0.16105458099538852</v>
      </c>
    </row>
    <row r="145" spans="1:30" x14ac:dyDescent="0.2">
      <c r="A145" s="30" t="s">
        <v>8854</v>
      </c>
      <c r="B145" s="29">
        <v>4</v>
      </c>
      <c r="C145" s="29">
        <v>3</v>
      </c>
      <c r="D145" s="29">
        <v>272</v>
      </c>
      <c r="E145" s="29">
        <v>1965</v>
      </c>
      <c r="F145" s="29">
        <v>12320</v>
      </c>
      <c r="G145" s="29">
        <v>1980</v>
      </c>
      <c r="H145" s="29">
        <v>46000</v>
      </c>
      <c r="I145" s="29">
        <v>5940</v>
      </c>
      <c r="J145" s="29">
        <v>73970000</v>
      </c>
      <c r="K145" s="29">
        <v>466</v>
      </c>
      <c r="L145" s="29">
        <v>989</v>
      </c>
      <c r="N145" s="34"/>
      <c r="O145" s="29">
        <f t="shared" si="32"/>
        <v>727.5</v>
      </c>
      <c r="P145" s="32" cm="1">
        <f t="array" ref="P145">WPNFACTOR(C145)</f>
        <v>2.5</v>
      </c>
      <c r="Q145" s="34" cm="1">
        <f t="array" ref="Q145">HPFACTOr(C145)</f>
        <v>4</v>
      </c>
      <c r="R145" s="33">
        <f t="shared" si="33"/>
        <v>291</v>
      </c>
      <c r="S145" s="34">
        <f t="shared" si="34"/>
        <v>18492500</v>
      </c>
      <c r="T145" s="33">
        <f t="shared" si="35"/>
        <v>291</v>
      </c>
      <c r="U145" s="42">
        <f t="shared" si="36"/>
        <v>18492500</v>
      </c>
      <c r="V145" s="44"/>
      <c r="W145" s="29">
        <f t="shared" si="38"/>
        <v>5381317500</v>
      </c>
      <c r="X145" s="41">
        <f t="shared" si="37"/>
        <v>32.325312282905408</v>
      </c>
      <c r="Y145" s="33">
        <f t="shared" si="39"/>
        <v>270.84583037760154</v>
      </c>
      <c r="Z145" s="33">
        <v>1.33</v>
      </c>
      <c r="AA145" s="29">
        <f t="shared" si="40"/>
        <v>360.22495440221007</v>
      </c>
      <c r="AB145" s="48">
        <f t="shared" si="41"/>
        <v>1752.3850472998108</v>
      </c>
      <c r="AC145" s="29">
        <v>276</v>
      </c>
      <c r="AD145" s="47">
        <f t="shared" si="42"/>
        <v>0.15749963195890013</v>
      </c>
    </row>
    <row r="146" spans="1:30" x14ac:dyDescent="0.2">
      <c r="A146" s="30" t="s">
        <v>8854</v>
      </c>
      <c r="B146" s="29">
        <v>5</v>
      </c>
      <c r="C146" s="29">
        <v>2</v>
      </c>
      <c r="D146" s="29">
        <v>280</v>
      </c>
      <c r="E146" s="29">
        <v>3869</v>
      </c>
      <c r="F146" s="29">
        <v>3865</v>
      </c>
      <c r="G146" s="29">
        <v>12249</v>
      </c>
      <c r="H146" s="29">
        <v>49255</v>
      </c>
      <c r="I146" s="29">
        <v>7662</v>
      </c>
      <c r="J146" s="29">
        <v>39995056</v>
      </c>
      <c r="K146" s="29">
        <v>764</v>
      </c>
      <c r="L146" s="29">
        <v>1927</v>
      </c>
      <c r="N146" s="34"/>
      <c r="O146" s="29">
        <f t="shared" si="32"/>
        <v>1345.5</v>
      </c>
      <c r="P146" s="32" cm="1">
        <f t="array" ref="P146">WPNFACTOR(C146)</f>
        <v>4.5</v>
      </c>
      <c r="Q146" s="34" cm="1">
        <f t="array" ref="Q146">HPFACTOr(C146)</f>
        <v>2</v>
      </c>
      <c r="R146" s="33">
        <f t="shared" si="33"/>
        <v>299</v>
      </c>
      <c r="S146" s="34">
        <f t="shared" si="34"/>
        <v>19997528</v>
      </c>
      <c r="T146" s="33">
        <f t="shared" si="35"/>
        <v>299</v>
      </c>
      <c r="U146" s="42">
        <f t="shared" si="36"/>
        <v>19997528</v>
      </c>
      <c r="V146" s="44"/>
      <c r="W146" s="29">
        <f t="shared" si="38"/>
        <v>5979260872</v>
      </c>
      <c r="X146" s="41">
        <f t="shared" si="37"/>
        <v>32.477320010281687</v>
      </c>
      <c r="Y146" s="33">
        <f t="shared" si="39"/>
        <v>278.07495490718583</v>
      </c>
      <c r="Z146" s="33">
        <v>1.33</v>
      </c>
      <c r="AA146" s="29">
        <f t="shared" si="40"/>
        <v>369.83969002655715</v>
      </c>
      <c r="AB146" s="48">
        <f t="shared" si="41"/>
        <v>1815.0245372555173</v>
      </c>
      <c r="AC146" s="29">
        <v>276</v>
      </c>
      <c r="AD146" s="47">
        <f t="shared" si="42"/>
        <v>0.15206405992578875</v>
      </c>
    </row>
    <row r="147" spans="1:30" x14ac:dyDescent="0.2">
      <c r="A147" s="30" t="s">
        <v>8854</v>
      </c>
      <c r="B147" s="29">
        <v>6</v>
      </c>
      <c r="C147" s="29">
        <v>3</v>
      </c>
      <c r="D147" s="29">
        <v>287</v>
      </c>
      <c r="E147" s="29">
        <v>4465</v>
      </c>
      <c r="F147" s="29">
        <v>12440</v>
      </c>
      <c r="G147" s="29">
        <v>4430</v>
      </c>
      <c r="H147" s="29">
        <v>54100</v>
      </c>
      <c r="I147" s="29">
        <v>7960</v>
      </c>
      <c r="J147" s="29">
        <v>94220000</v>
      </c>
      <c r="K147" s="29">
        <v>702</v>
      </c>
      <c r="L147" s="29">
        <v>816</v>
      </c>
      <c r="N147" s="34"/>
      <c r="O147" s="29">
        <f t="shared" si="32"/>
        <v>759</v>
      </c>
      <c r="P147" s="32" cm="1">
        <f t="array" ref="P147">WPNFACTOR(C147)</f>
        <v>2.5</v>
      </c>
      <c r="Q147" s="34" cm="1">
        <f t="array" ref="Q147">HPFACTOr(C147)</f>
        <v>4</v>
      </c>
      <c r="R147" s="33">
        <f t="shared" si="33"/>
        <v>303.60000000000002</v>
      </c>
      <c r="S147" s="34">
        <f t="shared" si="34"/>
        <v>23555000</v>
      </c>
      <c r="T147" s="33">
        <f t="shared" si="35"/>
        <v>303.60000000000002</v>
      </c>
      <c r="U147" s="42">
        <f t="shared" si="36"/>
        <v>23555000</v>
      </c>
      <c r="V147" s="44"/>
      <c r="W147" s="29">
        <f t="shared" si="38"/>
        <v>7151298000.000001</v>
      </c>
      <c r="X147" s="41">
        <f t="shared" si="37"/>
        <v>32.735557976745476</v>
      </c>
      <c r="Y147" s="33">
        <f t="shared" si="39"/>
        <v>290.80121649166603</v>
      </c>
      <c r="Z147" s="33">
        <v>1.33</v>
      </c>
      <c r="AA147" s="29">
        <f t="shared" si="40"/>
        <v>386.76561793391585</v>
      </c>
      <c r="AB147" s="48">
        <f t="shared" si="41"/>
        <v>1926.6150947563979</v>
      </c>
      <c r="AD147" s="47">
        <f t="shared" si="42"/>
        <v>0</v>
      </c>
    </row>
    <row r="148" spans="1:30" x14ac:dyDescent="0.2">
      <c r="A148" s="30" t="s">
        <v>8854</v>
      </c>
      <c r="B148" s="29">
        <v>7</v>
      </c>
      <c r="C148" s="29">
        <v>3</v>
      </c>
      <c r="D148" s="29">
        <v>295</v>
      </c>
      <c r="E148" s="29">
        <v>3910</v>
      </c>
      <c r="F148" s="29">
        <v>12980</v>
      </c>
      <c r="G148" s="29">
        <v>3850</v>
      </c>
      <c r="H148" s="29">
        <v>54500</v>
      </c>
      <c r="I148" s="29">
        <v>7970</v>
      </c>
      <c r="J148" s="29">
        <v>96325000</v>
      </c>
      <c r="K148" s="29">
        <v>402</v>
      </c>
      <c r="L148" s="29">
        <v>1167</v>
      </c>
      <c r="N148" s="34"/>
      <c r="O148" s="29">
        <f t="shared" si="32"/>
        <v>784.5</v>
      </c>
      <c r="P148" s="32" cm="1">
        <f t="array" ref="P148">WPNFACTOR(C148)</f>
        <v>2.5</v>
      </c>
      <c r="Q148" s="34" cm="1">
        <f t="array" ref="Q148">HPFACTOr(C148)</f>
        <v>4</v>
      </c>
      <c r="R148" s="33">
        <f t="shared" si="33"/>
        <v>313.8</v>
      </c>
      <c r="S148" s="34">
        <f t="shared" si="34"/>
        <v>24081250</v>
      </c>
      <c r="T148" s="33">
        <f t="shared" si="35"/>
        <v>313.8</v>
      </c>
      <c r="U148" s="42">
        <f t="shared" si="36"/>
        <v>24081250</v>
      </c>
      <c r="V148" s="44"/>
      <c r="W148" s="29">
        <f t="shared" si="38"/>
        <v>7556696250</v>
      </c>
      <c r="X148" s="41">
        <f t="shared" si="37"/>
        <v>32.815108487177099</v>
      </c>
      <c r="Y148" s="33">
        <f t="shared" si="39"/>
        <v>294.83768421567459</v>
      </c>
      <c r="Z148" s="33">
        <v>1.33</v>
      </c>
      <c r="AA148" s="29">
        <f t="shared" si="40"/>
        <v>392.13412000684724</v>
      </c>
      <c r="AB148" s="48">
        <f t="shared" si="41"/>
        <v>1962.3538506658713</v>
      </c>
      <c r="AD148" s="47">
        <f t="shared" si="42"/>
        <v>0</v>
      </c>
    </row>
    <row r="149" spans="1:30" x14ac:dyDescent="0.2">
      <c r="A149" s="30" t="s">
        <v>8854</v>
      </c>
      <c r="B149" s="29">
        <v>8</v>
      </c>
      <c r="C149" s="29">
        <v>1</v>
      </c>
      <c r="D149" s="29">
        <v>302</v>
      </c>
      <c r="E149" s="29">
        <v>14874</v>
      </c>
      <c r="F149" s="29">
        <v>3132</v>
      </c>
      <c r="G149" s="29">
        <v>1986</v>
      </c>
      <c r="H149" s="29">
        <v>58295</v>
      </c>
      <c r="I149" s="29">
        <v>8022</v>
      </c>
      <c r="J149" s="29">
        <v>138640080</v>
      </c>
      <c r="K149" s="29">
        <v>564</v>
      </c>
      <c r="L149" s="29">
        <v>675</v>
      </c>
      <c r="N149" s="34"/>
      <c r="O149" s="29">
        <f t="shared" si="32"/>
        <v>619.5</v>
      </c>
      <c r="P149" s="32" cm="1">
        <f t="array" ref="P149">WPNFACTOR(C149)</f>
        <v>2</v>
      </c>
      <c r="Q149" s="34" cm="1">
        <f t="array" ref="Q149">HPFACTOr(C149)</f>
        <v>5</v>
      </c>
      <c r="R149" s="33">
        <f t="shared" si="33"/>
        <v>309.75</v>
      </c>
      <c r="S149" s="34">
        <f t="shared" si="34"/>
        <v>27728016</v>
      </c>
      <c r="T149" s="33">
        <f t="shared" si="35"/>
        <v>309.75</v>
      </c>
      <c r="U149" s="42">
        <f t="shared" si="36"/>
        <v>27728016</v>
      </c>
      <c r="V149" s="44"/>
      <c r="W149" s="29">
        <f t="shared" si="38"/>
        <v>8588752956</v>
      </c>
      <c r="X149" s="41">
        <f t="shared" si="37"/>
        <v>32.999801528446774</v>
      </c>
      <c r="Y149" s="33">
        <f t="shared" si="39"/>
        <v>304.42655127067263</v>
      </c>
      <c r="Z149" s="33">
        <v>1.33</v>
      </c>
      <c r="AA149" s="29">
        <f t="shared" si="40"/>
        <v>404.88731318999464</v>
      </c>
      <c r="AB149" s="48">
        <f t="shared" si="41"/>
        <v>2047.9060877016148</v>
      </c>
      <c r="AD149" s="47">
        <f t="shared" si="42"/>
        <v>0</v>
      </c>
    </row>
    <row r="150" spans="1:30" x14ac:dyDescent="0.2">
      <c r="A150" s="30" t="s">
        <v>8854</v>
      </c>
      <c r="B150" s="29">
        <v>9</v>
      </c>
      <c r="C150" s="29">
        <v>1</v>
      </c>
      <c r="D150" s="29">
        <v>310</v>
      </c>
      <c r="E150" s="29">
        <v>14470</v>
      </c>
      <c r="F150" s="29">
        <v>5540</v>
      </c>
      <c r="G150" s="29">
        <v>5569</v>
      </c>
      <c r="H150" s="29">
        <v>70050</v>
      </c>
      <c r="I150" s="29">
        <v>10197</v>
      </c>
      <c r="J150" s="29">
        <v>174284400</v>
      </c>
      <c r="K150" s="29">
        <v>446</v>
      </c>
      <c r="L150" s="29">
        <v>945</v>
      </c>
      <c r="N150" s="34"/>
      <c r="O150" s="29">
        <f t="shared" si="32"/>
        <v>695.5</v>
      </c>
      <c r="P150" s="32" cm="1">
        <f t="array" ref="P150">WPNFACTOR(C150)</f>
        <v>2</v>
      </c>
      <c r="Q150" s="34" cm="1">
        <f t="array" ref="Q150">HPFACTOr(C150)</f>
        <v>5</v>
      </c>
      <c r="R150" s="33">
        <f t="shared" si="33"/>
        <v>347.75</v>
      </c>
      <c r="S150" s="34">
        <f t="shared" si="34"/>
        <v>34856880</v>
      </c>
      <c r="T150" s="33">
        <f t="shared" si="35"/>
        <v>347.75</v>
      </c>
      <c r="U150" s="42">
        <f t="shared" si="36"/>
        <v>34856880</v>
      </c>
      <c r="V150" s="44"/>
      <c r="W150" s="29">
        <f t="shared" si="38"/>
        <v>12121480020</v>
      </c>
      <c r="X150" s="41">
        <f t="shared" si="37"/>
        <v>33.496846809991027</v>
      </c>
      <c r="Y150" s="33">
        <f t="shared" si="39"/>
        <v>331.80957364383517</v>
      </c>
      <c r="Z150" s="33">
        <v>1.33</v>
      </c>
      <c r="AA150" s="29">
        <f t="shared" si="40"/>
        <v>441.30673294630077</v>
      </c>
      <c r="AB150" s="48">
        <f t="shared" si="41"/>
        <v>2297.1281118001239</v>
      </c>
      <c r="AD150" s="47">
        <f t="shared" si="42"/>
        <v>0</v>
      </c>
    </row>
    <row r="151" spans="1:30" x14ac:dyDescent="0.2">
      <c r="A151" s="30" t="s">
        <v>8854</v>
      </c>
      <c r="B151" s="29">
        <v>10</v>
      </c>
      <c r="C151" s="29">
        <v>2</v>
      </c>
      <c r="D151" s="29">
        <v>317</v>
      </c>
      <c r="E151" s="29">
        <v>5911</v>
      </c>
      <c r="F151" s="29">
        <v>4338</v>
      </c>
      <c r="G151" s="29">
        <v>12174</v>
      </c>
      <c r="H151" s="29">
        <v>70050</v>
      </c>
      <c r="I151" s="29">
        <v>8540</v>
      </c>
      <c r="J151" s="29">
        <v>71282872</v>
      </c>
      <c r="K151" s="29">
        <v>1027</v>
      </c>
      <c r="L151" s="29">
        <v>2059</v>
      </c>
      <c r="N151" s="34"/>
      <c r="O151" s="29">
        <f t="shared" si="32"/>
        <v>1543</v>
      </c>
      <c r="P151" s="32" cm="1">
        <f t="array" ref="P151">WPNFACTOR(C151)</f>
        <v>4.5</v>
      </c>
      <c r="Q151" s="34" cm="1">
        <f t="array" ref="Q151">HPFACTOr(C151)</f>
        <v>2</v>
      </c>
      <c r="R151" s="33">
        <f t="shared" si="33"/>
        <v>342.88888888888891</v>
      </c>
      <c r="S151" s="34">
        <f t="shared" si="34"/>
        <v>35641436</v>
      </c>
      <c r="T151" s="33">
        <f t="shared" si="35"/>
        <v>342.88888888888891</v>
      </c>
      <c r="U151" s="42">
        <f t="shared" si="36"/>
        <v>35641436</v>
      </c>
      <c r="V151" s="44"/>
      <c r="W151" s="29">
        <f t="shared" si="38"/>
        <v>12221052388.444445</v>
      </c>
      <c r="X151" s="41">
        <f t="shared" si="37"/>
        <v>33.508649473818856</v>
      </c>
      <c r="Y151" s="33">
        <f t="shared" si="39"/>
        <v>332.48890023514838</v>
      </c>
      <c r="Z151" s="33">
        <v>1.33</v>
      </c>
      <c r="AA151" s="29">
        <f t="shared" si="40"/>
        <v>442.21023731274738</v>
      </c>
      <c r="AB151" s="48">
        <f t="shared" si="41"/>
        <v>2303.4009163269561</v>
      </c>
      <c r="AD151" s="47">
        <f t="shared" si="42"/>
        <v>0</v>
      </c>
    </row>
    <row r="152" spans="1:30" x14ac:dyDescent="0.2">
      <c r="A152" s="30" t="s">
        <v>8855</v>
      </c>
      <c r="B152" s="29">
        <v>1</v>
      </c>
      <c r="C152" s="29">
        <v>1</v>
      </c>
      <c r="D152" s="29">
        <v>200</v>
      </c>
      <c r="E152" s="29">
        <v>8800</v>
      </c>
      <c r="F152" s="29">
        <v>1120</v>
      </c>
      <c r="G152" s="29">
        <v>1120</v>
      </c>
      <c r="H152" s="29">
        <v>28000</v>
      </c>
      <c r="I152" s="29">
        <v>3600</v>
      </c>
      <c r="J152" s="29">
        <v>28140000</v>
      </c>
      <c r="K152" s="29">
        <v>684</v>
      </c>
      <c r="L152" s="29">
        <v>1154</v>
      </c>
      <c r="N152" s="34"/>
      <c r="O152" s="29">
        <f t="shared" si="32"/>
        <v>919</v>
      </c>
      <c r="P152" s="32" cm="1">
        <f t="array" ref="P152">WPNFACTOR(C152)</f>
        <v>2</v>
      </c>
      <c r="Q152" s="34" cm="1">
        <f t="array" ref="Q152">HPFACTOr(C152)</f>
        <v>5</v>
      </c>
      <c r="R152" s="33">
        <f t="shared" si="33"/>
        <v>459.5</v>
      </c>
      <c r="S152" s="34">
        <f t="shared" si="34"/>
        <v>5628000</v>
      </c>
      <c r="T152" s="33">
        <f t="shared" si="35"/>
        <v>459.5</v>
      </c>
      <c r="U152" s="42">
        <f t="shared" si="36"/>
        <v>5628000</v>
      </c>
      <c r="V152" s="44"/>
      <c r="W152" s="29">
        <f t="shared" si="38"/>
        <v>2586066000</v>
      </c>
      <c r="X152" s="41">
        <f t="shared" si="37"/>
        <v>31.268111949187652</v>
      </c>
      <c r="Y152" s="33">
        <f t="shared" si="39"/>
        <v>225.50693441434296</v>
      </c>
      <c r="Z152" s="33">
        <v>1.33</v>
      </c>
      <c r="AA152" s="29">
        <f t="shared" si="40"/>
        <v>299.92422277107613</v>
      </c>
      <c r="AB152" s="48">
        <f t="shared" si="41"/>
        <v>1372.6080286301637</v>
      </c>
      <c r="AC152" s="29">
        <v>243</v>
      </c>
      <c r="AD152" s="47">
        <f t="shared" si="42"/>
        <v>0.17703524599263004</v>
      </c>
    </row>
    <row r="153" spans="1:30" x14ac:dyDescent="0.2">
      <c r="A153" s="30" t="s">
        <v>8855</v>
      </c>
      <c r="B153" s="29">
        <v>2</v>
      </c>
      <c r="C153" s="29">
        <v>1</v>
      </c>
      <c r="D153" s="29">
        <v>213</v>
      </c>
      <c r="E153" s="29">
        <v>8069</v>
      </c>
      <c r="F153" s="29">
        <v>1995</v>
      </c>
      <c r="G153" s="29">
        <v>2014</v>
      </c>
      <c r="H153" s="29">
        <v>36296</v>
      </c>
      <c r="I153" s="29">
        <v>3954</v>
      </c>
      <c r="J153" s="29">
        <v>38836720</v>
      </c>
      <c r="K153" s="29">
        <v>728</v>
      </c>
      <c r="L153" s="29">
        <v>1229</v>
      </c>
      <c r="N153" s="34"/>
      <c r="O153" s="29">
        <f t="shared" si="32"/>
        <v>978.5</v>
      </c>
      <c r="P153" s="32" cm="1">
        <f t="array" ref="P153">WPNFACTOR(C153)</f>
        <v>2</v>
      </c>
      <c r="Q153" s="34" cm="1">
        <f t="array" ref="Q153">HPFACTOr(C153)</f>
        <v>5</v>
      </c>
      <c r="R153" s="33">
        <f t="shared" si="33"/>
        <v>489.25</v>
      </c>
      <c r="S153" s="34">
        <f t="shared" si="34"/>
        <v>7767344</v>
      </c>
      <c r="T153" s="33">
        <f t="shared" si="35"/>
        <v>489.25</v>
      </c>
      <c r="U153" s="42">
        <f t="shared" si="36"/>
        <v>7767344</v>
      </c>
      <c r="V153" s="44"/>
      <c r="W153" s="29">
        <f t="shared" si="38"/>
        <v>3800173052</v>
      </c>
      <c r="X153" s="41">
        <f t="shared" si="37"/>
        <v>31.823417971378699</v>
      </c>
      <c r="Y153" s="33">
        <f t="shared" si="39"/>
        <v>248.28520626645931</v>
      </c>
      <c r="Z153" s="33">
        <v>1.33</v>
      </c>
      <c r="AA153" s="29">
        <f t="shared" si="40"/>
        <v>330.21932433439088</v>
      </c>
      <c r="AB153" s="48">
        <f t="shared" si="41"/>
        <v>1560.514438597902</v>
      </c>
      <c r="AC153" s="29">
        <v>246</v>
      </c>
      <c r="AD153" s="47">
        <f t="shared" si="42"/>
        <v>0.15764032290596888</v>
      </c>
    </row>
    <row r="154" spans="1:30" x14ac:dyDescent="0.2">
      <c r="A154" s="30" t="s">
        <v>8855</v>
      </c>
      <c r="B154" s="29">
        <v>3</v>
      </c>
      <c r="C154" s="29">
        <v>2</v>
      </c>
      <c r="D154" s="29">
        <v>228</v>
      </c>
      <c r="E154" s="29">
        <v>1333</v>
      </c>
      <c r="F154" s="29">
        <v>1333</v>
      </c>
      <c r="G154" s="29">
        <v>9709</v>
      </c>
      <c r="H154" s="29">
        <v>37840</v>
      </c>
      <c r="I154" s="29">
        <v>4128</v>
      </c>
      <c r="J154" s="29">
        <v>17330720</v>
      </c>
      <c r="K154" s="29">
        <v>1752</v>
      </c>
      <c r="L154" s="29">
        <v>2959</v>
      </c>
      <c r="N154" s="34"/>
      <c r="O154" s="29">
        <f t="shared" si="32"/>
        <v>2355.5</v>
      </c>
      <c r="P154" s="32" cm="1">
        <f t="array" ref="P154">WPNFACTOR(C154)</f>
        <v>4.5</v>
      </c>
      <c r="Q154" s="34" cm="1">
        <f t="array" ref="Q154">HPFACTOr(C154)</f>
        <v>2</v>
      </c>
      <c r="R154" s="33">
        <f t="shared" si="33"/>
        <v>523.44444444444446</v>
      </c>
      <c r="S154" s="34">
        <f t="shared" si="34"/>
        <v>8665360</v>
      </c>
      <c r="T154" s="33">
        <f t="shared" si="35"/>
        <v>523.44444444444446</v>
      </c>
      <c r="U154" s="42">
        <f t="shared" si="36"/>
        <v>8665360</v>
      </c>
      <c r="V154" s="44"/>
      <c r="W154" s="29">
        <f t="shared" si="38"/>
        <v>4535834551.1111116</v>
      </c>
      <c r="X154" s="41">
        <f t="shared" si="37"/>
        <v>32.078720871549308</v>
      </c>
      <c r="Y154" s="33">
        <f t="shared" si="39"/>
        <v>259.51609713244181</v>
      </c>
      <c r="Z154" s="33">
        <v>1.33</v>
      </c>
      <c r="AA154" s="29">
        <f t="shared" si="40"/>
        <v>345.15640918614764</v>
      </c>
      <c r="AB154" s="48">
        <f t="shared" si="41"/>
        <v>1655.3343794402508</v>
      </c>
      <c r="AC154" s="29">
        <v>247</v>
      </c>
      <c r="AD154" s="47">
        <f t="shared" si="42"/>
        <v>0.14921456538800501</v>
      </c>
    </row>
    <row r="155" spans="1:30" x14ac:dyDescent="0.2">
      <c r="A155" s="30" t="s">
        <v>8855</v>
      </c>
      <c r="B155" s="29">
        <v>4</v>
      </c>
      <c r="C155" s="29">
        <v>3</v>
      </c>
      <c r="D155" s="29">
        <v>242</v>
      </c>
      <c r="E155" s="29">
        <v>1749</v>
      </c>
      <c r="F155" s="29">
        <v>10965</v>
      </c>
      <c r="G155" s="29">
        <v>1762</v>
      </c>
      <c r="H155" s="29">
        <v>40940</v>
      </c>
      <c r="I155" s="29">
        <v>5287</v>
      </c>
      <c r="J155" s="29">
        <v>39793680</v>
      </c>
      <c r="K155" s="29">
        <v>1034</v>
      </c>
      <c r="L155" s="29">
        <v>1747</v>
      </c>
      <c r="N155" s="34"/>
      <c r="O155" s="29">
        <f t="shared" si="32"/>
        <v>1390.5</v>
      </c>
      <c r="P155" s="32" cm="1">
        <f t="array" ref="P155">WPNFACTOR(C155)</f>
        <v>2.5</v>
      </c>
      <c r="Q155" s="34" cm="1">
        <f t="array" ref="Q155">HPFACTOr(C155)</f>
        <v>4</v>
      </c>
      <c r="R155" s="33">
        <f t="shared" si="33"/>
        <v>556.20000000000005</v>
      </c>
      <c r="S155" s="34">
        <f t="shared" si="34"/>
        <v>9948420</v>
      </c>
      <c r="T155" s="33">
        <f t="shared" si="35"/>
        <v>556.20000000000005</v>
      </c>
      <c r="U155" s="42">
        <f t="shared" si="36"/>
        <v>9948420</v>
      </c>
      <c r="V155" s="44"/>
      <c r="W155" s="29">
        <f t="shared" si="38"/>
        <v>5533311204</v>
      </c>
      <c r="X155" s="41">
        <f t="shared" si="37"/>
        <v>32.365495919975878</v>
      </c>
      <c r="Y155" s="33">
        <f t="shared" si="39"/>
        <v>272.73839101854594</v>
      </c>
      <c r="Z155" s="33">
        <v>1.33</v>
      </c>
      <c r="AA155" s="29">
        <f t="shared" si="40"/>
        <v>362.74206005466613</v>
      </c>
      <c r="AB155" s="48">
        <f t="shared" si="41"/>
        <v>1768.7306382960505</v>
      </c>
      <c r="AC155" s="29">
        <v>263</v>
      </c>
      <c r="AD155" s="47">
        <f t="shared" si="42"/>
        <v>0.14869420719333917</v>
      </c>
    </row>
    <row r="156" spans="1:30" x14ac:dyDescent="0.2">
      <c r="A156" s="30" t="s">
        <v>8855</v>
      </c>
      <c r="B156" s="29">
        <v>5</v>
      </c>
      <c r="C156" s="29">
        <v>3</v>
      </c>
      <c r="D156" s="29">
        <v>258</v>
      </c>
      <c r="E156" s="29">
        <v>3559</v>
      </c>
      <c r="F156" s="29">
        <v>11269</v>
      </c>
      <c r="G156" s="29">
        <v>3559</v>
      </c>
      <c r="H156" s="29">
        <v>45315</v>
      </c>
      <c r="I156" s="29">
        <v>7049</v>
      </c>
      <c r="J156" s="29">
        <v>46946340</v>
      </c>
      <c r="K156" s="29">
        <v>1102</v>
      </c>
      <c r="L156" s="29">
        <v>1861</v>
      </c>
      <c r="N156" s="34"/>
      <c r="O156" s="29">
        <f t="shared" si="32"/>
        <v>1481.5</v>
      </c>
      <c r="P156" s="32" cm="1">
        <f t="array" ref="P156">WPNFACTOR(C156)</f>
        <v>2.5</v>
      </c>
      <c r="Q156" s="34" cm="1">
        <f t="array" ref="Q156">HPFACTOr(C156)</f>
        <v>4</v>
      </c>
      <c r="R156" s="33">
        <f t="shared" si="33"/>
        <v>592.6</v>
      </c>
      <c r="S156" s="34">
        <f t="shared" si="34"/>
        <v>11736585</v>
      </c>
      <c r="T156" s="33">
        <f t="shared" si="35"/>
        <v>592.6</v>
      </c>
      <c r="U156" s="42">
        <f t="shared" si="36"/>
        <v>11736585</v>
      </c>
      <c r="V156" s="44"/>
      <c r="W156" s="29">
        <f t="shared" si="38"/>
        <v>6955100271</v>
      </c>
      <c r="X156" s="41">
        <f t="shared" si="37"/>
        <v>32.695424168096935</v>
      </c>
      <c r="Y156" s="33">
        <f t="shared" si="39"/>
        <v>288.7858095291237</v>
      </c>
      <c r="Z156" s="33">
        <v>1.33</v>
      </c>
      <c r="AA156" s="29">
        <f t="shared" si="40"/>
        <v>384.08512667373452</v>
      </c>
      <c r="AB156" s="48">
        <f t="shared" si="41"/>
        <v>1908.8324023439413</v>
      </c>
      <c r="AC156" s="29">
        <v>276</v>
      </c>
      <c r="AD156" s="47">
        <f t="shared" si="42"/>
        <v>0.14459100739336106</v>
      </c>
    </row>
    <row r="157" spans="1:30" x14ac:dyDescent="0.2">
      <c r="A157" s="30" t="s">
        <v>8855</v>
      </c>
      <c r="B157" s="29">
        <v>6</v>
      </c>
      <c r="C157" s="29">
        <v>1</v>
      </c>
      <c r="D157" s="29">
        <v>273</v>
      </c>
      <c r="E157" s="29">
        <v>11818</v>
      </c>
      <c r="F157" s="29">
        <v>4209</v>
      </c>
      <c r="G157" s="29">
        <v>4209</v>
      </c>
      <c r="H157" s="29">
        <v>51395</v>
      </c>
      <c r="I157" s="29">
        <v>7562</v>
      </c>
      <c r="J157" s="29">
        <v>70411152</v>
      </c>
      <c r="K157" s="29">
        <v>932</v>
      </c>
      <c r="L157" s="29">
        <v>1574</v>
      </c>
      <c r="N157" s="34"/>
      <c r="O157" s="29">
        <f t="shared" si="32"/>
        <v>1253</v>
      </c>
      <c r="P157" s="32" cm="1">
        <f t="array" ref="P157">WPNFACTOR(C157)</f>
        <v>2</v>
      </c>
      <c r="Q157" s="34" cm="1">
        <f t="array" ref="Q157">HPFACTOr(C157)</f>
        <v>5</v>
      </c>
      <c r="R157" s="33">
        <f t="shared" si="33"/>
        <v>626.5</v>
      </c>
      <c r="S157" s="34">
        <f t="shared" si="34"/>
        <v>14082230.4</v>
      </c>
      <c r="T157" s="33">
        <f t="shared" si="35"/>
        <v>626.5</v>
      </c>
      <c r="U157" s="42">
        <f t="shared" si="36"/>
        <v>14082230.4</v>
      </c>
      <c r="V157" s="44"/>
      <c r="W157" s="29">
        <f t="shared" si="38"/>
        <v>8822517345.6000004</v>
      </c>
      <c r="X157" s="41">
        <f t="shared" si="37"/>
        <v>33.038543215419317</v>
      </c>
      <c r="Y157" s="33">
        <f t="shared" si="39"/>
        <v>306.47717104989385</v>
      </c>
      <c r="Z157" s="33">
        <v>1.33</v>
      </c>
      <c r="AA157" s="29">
        <f t="shared" si="40"/>
        <v>407.61463749635885</v>
      </c>
      <c r="AB157" s="48">
        <f t="shared" si="41"/>
        <v>2066.3196559562289</v>
      </c>
      <c r="AD157" s="47">
        <f t="shared" si="42"/>
        <v>0</v>
      </c>
    </row>
    <row r="158" spans="1:30" x14ac:dyDescent="0.2">
      <c r="A158" s="30" t="s">
        <v>8855</v>
      </c>
      <c r="B158" s="29">
        <v>7</v>
      </c>
      <c r="C158" s="29">
        <v>3</v>
      </c>
      <c r="D158" s="29">
        <v>289</v>
      </c>
      <c r="E158" s="29">
        <v>3832</v>
      </c>
      <c r="F158" s="29">
        <v>12720</v>
      </c>
      <c r="G158" s="29">
        <v>3773</v>
      </c>
      <c r="H158" s="29">
        <v>53410</v>
      </c>
      <c r="I158" s="29">
        <v>7811</v>
      </c>
      <c r="J158" s="29">
        <v>61955600</v>
      </c>
      <c r="K158" s="29">
        <v>1232</v>
      </c>
      <c r="L158" s="29">
        <v>2084</v>
      </c>
      <c r="N158" s="34"/>
      <c r="O158" s="29">
        <f t="shared" si="32"/>
        <v>1658</v>
      </c>
      <c r="P158" s="32" cm="1">
        <f t="array" ref="P158">WPNFACTOR(C158)</f>
        <v>2.5</v>
      </c>
      <c r="Q158" s="34" cm="1">
        <f t="array" ref="Q158">HPFACTOr(C158)</f>
        <v>4</v>
      </c>
      <c r="R158" s="33">
        <f t="shared" si="33"/>
        <v>663.2</v>
      </c>
      <c r="S158" s="34">
        <f t="shared" si="34"/>
        <v>15488900</v>
      </c>
      <c r="T158" s="33">
        <f t="shared" si="35"/>
        <v>663.2</v>
      </c>
      <c r="U158" s="42">
        <f t="shared" si="36"/>
        <v>15488900</v>
      </c>
      <c r="V158" s="44"/>
      <c r="W158" s="29">
        <f t="shared" si="38"/>
        <v>10272238480</v>
      </c>
      <c r="X158" s="41">
        <f t="shared" si="37"/>
        <v>33.258031550402819</v>
      </c>
      <c r="Y158" s="33">
        <f t="shared" si="39"/>
        <v>318.35837066831783</v>
      </c>
      <c r="Z158" s="33">
        <v>1.33</v>
      </c>
      <c r="AA158" s="29">
        <f t="shared" si="40"/>
        <v>423.41663298886272</v>
      </c>
      <c r="AB158" s="48">
        <f t="shared" si="41"/>
        <v>2173.8105782786556</v>
      </c>
      <c r="AD158" s="47">
        <f t="shared" si="42"/>
        <v>0</v>
      </c>
    </row>
    <row r="159" spans="1:30" x14ac:dyDescent="0.2">
      <c r="A159" s="30" t="s">
        <v>8855</v>
      </c>
      <c r="B159" s="29">
        <v>8</v>
      </c>
      <c r="C159" s="29">
        <v>2</v>
      </c>
      <c r="D159" s="29">
        <v>305</v>
      </c>
      <c r="E159" s="29">
        <v>3163</v>
      </c>
      <c r="F159" s="29">
        <v>3163</v>
      </c>
      <c r="G159" s="29">
        <v>15023</v>
      </c>
      <c r="H159" s="29">
        <v>58878</v>
      </c>
      <c r="I159" s="29">
        <v>8102</v>
      </c>
      <c r="J159" s="29">
        <v>36033336</v>
      </c>
      <c r="K159" s="29">
        <v>2340</v>
      </c>
      <c r="L159" s="29">
        <v>3959</v>
      </c>
      <c r="N159" s="34"/>
      <c r="O159" s="29">
        <f t="shared" si="32"/>
        <v>3149.5</v>
      </c>
      <c r="P159" s="32" cm="1">
        <f t="array" ref="P159">WPNFACTOR(C159)</f>
        <v>4.5</v>
      </c>
      <c r="Q159" s="34" cm="1">
        <f t="array" ref="Q159">HPFACTOr(C159)</f>
        <v>2</v>
      </c>
      <c r="R159" s="33">
        <f t="shared" si="33"/>
        <v>699.88888888888891</v>
      </c>
      <c r="S159" s="34">
        <f t="shared" si="34"/>
        <v>18016668</v>
      </c>
      <c r="T159" s="33">
        <f t="shared" si="35"/>
        <v>699.88888888888891</v>
      </c>
      <c r="U159" s="42">
        <f t="shared" si="36"/>
        <v>18016668</v>
      </c>
      <c r="V159" s="44"/>
      <c r="W159" s="29">
        <f t="shared" si="38"/>
        <v>12609665748</v>
      </c>
      <c r="X159" s="41">
        <f t="shared" si="37"/>
        <v>33.553810982660771</v>
      </c>
      <c r="Y159" s="33">
        <f t="shared" si="39"/>
        <v>335.10113102301614</v>
      </c>
      <c r="Z159" s="33">
        <v>1.33</v>
      </c>
      <c r="AA159" s="29">
        <f t="shared" si="40"/>
        <v>445.6845042606115</v>
      </c>
      <c r="AB159" s="48">
        <f t="shared" si="41"/>
        <v>2327.5616424961545</v>
      </c>
      <c r="AD159" s="47">
        <f t="shared" si="42"/>
        <v>0</v>
      </c>
    </row>
    <row r="160" spans="1:30" x14ac:dyDescent="0.2">
      <c r="A160" s="30" t="s">
        <v>8855</v>
      </c>
      <c r="B160" s="29">
        <v>9</v>
      </c>
      <c r="C160" s="29">
        <v>5</v>
      </c>
      <c r="D160" s="29">
        <v>319</v>
      </c>
      <c r="E160" s="29">
        <v>14904</v>
      </c>
      <c r="F160" s="29">
        <v>5706</v>
      </c>
      <c r="G160" s="29">
        <v>5736</v>
      </c>
      <c r="H160" s="29">
        <v>72152</v>
      </c>
      <c r="I160" s="29">
        <v>10503</v>
      </c>
      <c r="J160" s="29">
        <v>115443200</v>
      </c>
      <c r="K160" s="29">
        <v>1088</v>
      </c>
      <c r="L160" s="29">
        <v>1839</v>
      </c>
      <c r="N160" s="34"/>
      <c r="O160" s="29">
        <f t="shared" si="32"/>
        <v>1463.5</v>
      </c>
      <c r="P160" s="32" cm="1">
        <f t="array" ref="P160">WPNFACTOR(C160)</f>
        <v>2</v>
      </c>
      <c r="Q160" s="34" cm="1">
        <f t="array" ref="Q160">HPFACTOr(C160)</f>
        <v>5</v>
      </c>
      <c r="R160" s="33">
        <f t="shared" si="33"/>
        <v>731.75</v>
      </c>
      <c r="S160" s="34">
        <f t="shared" si="34"/>
        <v>23088640</v>
      </c>
      <c r="T160" s="33">
        <f t="shared" si="35"/>
        <v>731.75</v>
      </c>
      <c r="U160" s="42">
        <f t="shared" si="36"/>
        <v>23088640</v>
      </c>
      <c r="V160" s="44"/>
      <c r="W160" s="29">
        <f t="shared" si="38"/>
        <v>16895112320</v>
      </c>
      <c r="X160" s="41">
        <f t="shared" si="37"/>
        <v>33.975886890554285</v>
      </c>
      <c r="Y160" s="33">
        <f t="shared" si="39"/>
        <v>360.52905551614839</v>
      </c>
      <c r="Z160" s="33">
        <v>1.33</v>
      </c>
      <c r="AA160" s="29">
        <f t="shared" si="40"/>
        <v>479.50364383647741</v>
      </c>
      <c r="AB160" s="48">
        <f t="shared" si="41"/>
        <v>2565.9825253297013</v>
      </c>
      <c r="AD160" s="47">
        <f t="shared" si="42"/>
        <v>0</v>
      </c>
    </row>
    <row r="161" spans="1:30" x14ac:dyDescent="0.2">
      <c r="A161" s="30" t="s">
        <v>8855</v>
      </c>
      <c r="B161" s="29">
        <v>10</v>
      </c>
      <c r="C161" s="29">
        <v>3</v>
      </c>
      <c r="D161" s="29">
        <v>333</v>
      </c>
      <c r="E161" s="29">
        <v>6207</v>
      </c>
      <c r="F161" s="29">
        <v>12783</v>
      </c>
      <c r="G161" s="29">
        <v>6207</v>
      </c>
      <c r="H161" s="29">
        <v>73553</v>
      </c>
      <c r="I161" s="29">
        <v>8967</v>
      </c>
      <c r="J161" s="29">
        <v>98266808</v>
      </c>
      <c r="K161" s="29">
        <v>1420</v>
      </c>
      <c r="L161" s="29">
        <v>2399</v>
      </c>
      <c r="N161" s="34"/>
      <c r="O161" s="29">
        <f t="shared" si="32"/>
        <v>1909.5</v>
      </c>
      <c r="P161" s="32" cm="1">
        <f t="array" ref="P161">WPNFACTOR(C161)</f>
        <v>2.5</v>
      </c>
      <c r="Q161" s="34" cm="1">
        <f t="array" ref="Q161">HPFACTOr(C161)</f>
        <v>4</v>
      </c>
      <c r="R161" s="33">
        <f t="shared" si="33"/>
        <v>763.8</v>
      </c>
      <c r="S161" s="34">
        <f t="shared" si="34"/>
        <v>24566702</v>
      </c>
      <c r="T161" s="33">
        <f t="shared" si="35"/>
        <v>763.8</v>
      </c>
      <c r="U161" s="42">
        <f t="shared" si="36"/>
        <v>24566702</v>
      </c>
      <c r="V161" s="44"/>
      <c r="W161" s="29">
        <f t="shared" si="38"/>
        <v>18764046987.599998</v>
      </c>
      <c r="X161" s="41">
        <f t="shared" si="37"/>
        <v>34.127251967519612</v>
      </c>
      <c r="Y161" s="33">
        <f t="shared" si="39"/>
        <v>370.1106890102912</v>
      </c>
      <c r="Z161" s="33">
        <v>1.33</v>
      </c>
      <c r="AA161" s="29">
        <f t="shared" si="40"/>
        <v>492.24721638368732</v>
      </c>
      <c r="AB161" s="48">
        <f t="shared" si="41"/>
        <v>2657.3096863175801</v>
      </c>
      <c r="AD161" s="47">
        <f t="shared" si="42"/>
        <v>0</v>
      </c>
    </row>
    <row r="162" spans="1:30" x14ac:dyDescent="0.2">
      <c r="A162" s="30" t="s">
        <v>8856</v>
      </c>
      <c r="B162" s="29">
        <v>1</v>
      </c>
      <c r="C162" s="29">
        <v>1</v>
      </c>
      <c r="D162" s="29">
        <v>210</v>
      </c>
      <c r="E162" s="29">
        <v>8000</v>
      </c>
      <c r="F162" s="29">
        <v>2000</v>
      </c>
      <c r="G162" s="29">
        <v>2000</v>
      </c>
      <c r="H162" s="29">
        <v>36000</v>
      </c>
      <c r="I162" s="29">
        <v>4000</v>
      </c>
      <c r="J162" s="29">
        <v>43560000</v>
      </c>
      <c r="K162" s="29">
        <v>728</v>
      </c>
      <c r="L162" s="29">
        <v>1229</v>
      </c>
      <c r="M162" s="29">
        <v>0</v>
      </c>
      <c r="N162" s="34">
        <v>30</v>
      </c>
      <c r="O162" s="29">
        <f t="shared" si="32"/>
        <v>978.5</v>
      </c>
      <c r="P162" s="32" cm="1">
        <f t="array" ref="P162">WPNFACTOR(C162)</f>
        <v>2</v>
      </c>
      <c r="Q162" s="34" cm="1">
        <f t="array" ref="Q162">HPFACTOr(C162)</f>
        <v>5</v>
      </c>
      <c r="R162" s="33">
        <f t="shared" si="33"/>
        <v>489.25</v>
      </c>
      <c r="S162" s="34">
        <f t="shared" si="34"/>
        <v>8712000</v>
      </c>
      <c r="T162" s="33">
        <f t="shared" si="35"/>
        <v>525.94375000000002</v>
      </c>
      <c r="U162" s="42">
        <f t="shared" si="36"/>
        <v>8712000</v>
      </c>
      <c r="V162" s="44"/>
      <c r="W162" s="29">
        <f t="shared" si="38"/>
        <v>4582021950</v>
      </c>
      <c r="X162" s="41">
        <f t="shared" si="37"/>
        <v>32.093337223820534</v>
      </c>
      <c r="Y162" s="33">
        <f t="shared" si="39"/>
        <v>260.1742380366785</v>
      </c>
      <c r="Z162" s="33">
        <v>1.33</v>
      </c>
      <c r="AA162" s="29">
        <f t="shared" si="40"/>
        <v>346.03173658878245</v>
      </c>
      <c r="AB162" s="48">
        <f t="shared" si="41"/>
        <v>1660.9340499815212</v>
      </c>
      <c r="AC162" s="29">
        <v>255</v>
      </c>
      <c r="AD162" s="47">
        <f t="shared" si="42"/>
        <v>0.15352807054731463</v>
      </c>
    </row>
    <row r="163" spans="1:30" x14ac:dyDescent="0.2">
      <c r="A163" s="30" t="s">
        <v>8856</v>
      </c>
      <c r="B163" s="29">
        <v>2</v>
      </c>
      <c r="C163" s="29">
        <v>1</v>
      </c>
      <c r="D163" s="29">
        <v>240</v>
      </c>
      <c r="E163" s="29">
        <v>10965</v>
      </c>
      <c r="F163" s="29">
        <v>1762</v>
      </c>
      <c r="G163" s="29">
        <v>12000</v>
      </c>
      <c r="H163" s="29">
        <v>40500</v>
      </c>
      <c r="I163" s="29">
        <v>5000</v>
      </c>
      <c r="J163" s="29">
        <v>55687500</v>
      </c>
      <c r="K163" s="29">
        <v>840</v>
      </c>
      <c r="L163" s="29">
        <v>1439</v>
      </c>
      <c r="M163" s="29">
        <v>10</v>
      </c>
      <c r="N163" s="34">
        <v>30</v>
      </c>
      <c r="O163" s="29">
        <f t="shared" si="32"/>
        <v>1139.5</v>
      </c>
      <c r="P163" s="32" cm="1">
        <f t="array" ref="P163">WPNFACTOR(C163)</f>
        <v>2</v>
      </c>
      <c r="Q163" s="34" cm="1">
        <f t="array" ref="Q163">HPFACTOr(C163)</f>
        <v>5</v>
      </c>
      <c r="R163" s="33">
        <f t="shared" si="33"/>
        <v>569.75</v>
      </c>
      <c r="S163" s="34">
        <f t="shared" si="34"/>
        <v>11137500</v>
      </c>
      <c r="T163" s="33">
        <f t="shared" si="35"/>
        <v>612.48124999999993</v>
      </c>
      <c r="U163" s="42">
        <f t="shared" si="36"/>
        <v>11571428.571428571</v>
      </c>
      <c r="V163" s="44"/>
      <c r="W163" s="29">
        <f t="shared" si="38"/>
        <v>7087283035.7142849</v>
      </c>
      <c r="X163" s="41">
        <f t="shared" si="37"/>
        <v>32.722585519231224</v>
      </c>
      <c r="Y163" s="33">
        <f t="shared" si="39"/>
        <v>290.14824247540099</v>
      </c>
      <c r="Z163" s="33">
        <v>1.33</v>
      </c>
      <c r="AA163" s="29">
        <f t="shared" si="40"/>
        <v>385.89716249228331</v>
      </c>
      <c r="AB163" s="48">
        <f t="shared" si="41"/>
        <v>1920.8491465797247</v>
      </c>
      <c r="AC163" s="29">
        <v>279</v>
      </c>
      <c r="AD163" s="47">
        <f t="shared" si="42"/>
        <v>0.14524826194539486</v>
      </c>
    </row>
    <row r="164" spans="1:30" x14ac:dyDescent="0.2">
      <c r="A164" s="30" t="s">
        <v>8856</v>
      </c>
      <c r="B164" s="29">
        <v>3</v>
      </c>
      <c r="C164" s="29">
        <v>2</v>
      </c>
      <c r="D164" s="29">
        <v>270</v>
      </c>
      <c r="E164" s="29">
        <v>4000</v>
      </c>
      <c r="F164" s="29">
        <v>4000</v>
      </c>
      <c r="G164" s="29">
        <v>11500</v>
      </c>
      <c r="H164" s="29">
        <v>51000</v>
      </c>
      <c r="I164" s="29">
        <v>7500</v>
      </c>
      <c r="J164" s="29">
        <v>31416000</v>
      </c>
      <c r="K164" s="29">
        <v>2126</v>
      </c>
      <c r="L164" s="29">
        <v>3643</v>
      </c>
      <c r="M164" s="29">
        <v>35</v>
      </c>
      <c r="N164" s="34">
        <v>30</v>
      </c>
      <c r="O164" s="29">
        <f t="shared" si="32"/>
        <v>2884.5</v>
      </c>
      <c r="P164" s="32" cm="1">
        <f t="array" ref="P164">WPNFACTOR(C164)</f>
        <v>4.5</v>
      </c>
      <c r="Q164" s="34" cm="1">
        <f t="array" ref="Q164">HPFACTOr(C164)</f>
        <v>2</v>
      </c>
      <c r="R164" s="33">
        <f t="shared" si="33"/>
        <v>641</v>
      </c>
      <c r="S164" s="34">
        <f t="shared" si="34"/>
        <v>15708000</v>
      </c>
      <c r="T164" s="33">
        <f t="shared" si="35"/>
        <v>689.07499999999993</v>
      </c>
      <c r="U164" s="42">
        <f t="shared" si="36"/>
        <v>18081151.079136688</v>
      </c>
      <c r="V164" s="44"/>
      <c r="W164" s="29">
        <f t="shared" si="38"/>
        <v>12459269179.856112</v>
      </c>
      <c r="X164" s="41">
        <f t="shared" si="37"/>
        <v>33.53650039592582</v>
      </c>
      <c r="Y164" s="33">
        <f t="shared" si="39"/>
        <v>334.09743561131165</v>
      </c>
      <c r="Z164" s="33">
        <v>1.33</v>
      </c>
      <c r="AA164" s="29">
        <f t="shared" si="40"/>
        <v>444.34958936304452</v>
      </c>
      <c r="AB164" s="48">
        <f t="shared" si="41"/>
        <v>2318.2709309883526</v>
      </c>
      <c r="AC164" s="29">
        <v>279</v>
      </c>
      <c r="AD164" s="47">
        <f t="shared" si="42"/>
        <v>0.12034831488874057</v>
      </c>
    </row>
    <row r="165" spans="1:30" x14ac:dyDescent="0.2">
      <c r="A165" s="30" t="s">
        <v>8856</v>
      </c>
      <c r="B165" s="29">
        <v>4</v>
      </c>
      <c r="C165" s="29">
        <v>1</v>
      </c>
      <c r="D165" s="29">
        <v>305</v>
      </c>
      <c r="E165" s="29">
        <v>15000</v>
      </c>
      <c r="F165" s="29">
        <v>3500</v>
      </c>
      <c r="G165" s="29">
        <v>3500</v>
      </c>
      <c r="H165" s="29">
        <v>58500</v>
      </c>
      <c r="I165" s="29">
        <v>8000</v>
      </c>
      <c r="J165" s="29">
        <v>101351256</v>
      </c>
      <c r="K165" s="29">
        <v>1067</v>
      </c>
      <c r="L165" s="29">
        <v>1829</v>
      </c>
      <c r="M165" s="29">
        <v>15</v>
      </c>
      <c r="N165" s="34">
        <v>30</v>
      </c>
      <c r="O165" s="29">
        <f t="shared" si="32"/>
        <v>1448</v>
      </c>
      <c r="P165" s="32" cm="1">
        <f t="array" ref="P165">WPNFACTOR(C165)</f>
        <v>2</v>
      </c>
      <c r="Q165" s="34" cm="1">
        <f t="array" ref="Q165">HPFACTOr(C165)</f>
        <v>5</v>
      </c>
      <c r="R165" s="33">
        <f t="shared" si="33"/>
        <v>724</v>
      </c>
      <c r="S165" s="34">
        <f t="shared" si="34"/>
        <v>20270251.199999999</v>
      </c>
      <c r="T165" s="33">
        <f t="shared" si="35"/>
        <v>778.3</v>
      </c>
      <c r="U165" s="42">
        <f t="shared" si="36"/>
        <v>21478411.867549669</v>
      </c>
      <c r="V165" s="44"/>
      <c r="W165" s="29">
        <f t="shared" si="38"/>
        <v>16716647956.513906</v>
      </c>
      <c r="X165" s="41">
        <f t="shared" si="37"/>
        <v>33.96056653425056</v>
      </c>
      <c r="Y165" s="33">
        <f t="shared" si="39"/>
        <v>359.57318680038583</v>
      </c>
      <c r="Z165" s="33">
        <v>1.33</v>
      </c>
      <c r="AA165" s="29">
        <f t="shared" si="40"/>
        <v>478.23233844451318</v>
      </c>
      <c r="AB165" s="48">
        <f t="shared" si="41"/>
        <v>2556.9156353593048</v>
      </c>
      <c r="AD165" s="47">
        <f t="shared" si="42"/>
        <v>0</v>
      </c>
    </row>
    <row r="166" spans="1:30" x14ac:dyDescent="0.2">
      <c r="A166" s="30" t="s">
        <v>8856</v>
      </c>
      <c r="B166" s="29">
        <v>5</v>
      </c>
      <c r="C166" s="29">
        <v>1</v>
      </c>
      <c r="D166" s="29">
        <v>330</v>
      </c>
      <c r="E166" s="29">
        <v>12500</v>
      </c>
      <c r="F166" s="29">
        <v>6000</v>
      </c>
      <c r="G166" s="29">
        <v>6000</v>
      </c>
      <c r="H166" s="29">
        <v>73500</v>
      </c>
      <c r="I166" s="29">
        <v>9000</v>
      </c>
      <c r="J166" s="29">
        <v>137445008</v>
      </c>
      <c r="K166" s="29">
        <v>1155</v>
      </c>
      <c r="L166" s="29">
        <v>1979</v>
      </c>
      <c r="M166" s="29">
        <v>30</v>
      </c>
      <c r="N166" s="34">
        <v>40</v>
      </c>
      <c r="O166" s="29">
        <f t="shared" si="32"/>
        <v>1567</v>
      </c>
      <c r="P166" s="32" cm="1">
        <f t="array" ref="P166">WPNFACTOR(C166)</f>
        <v>2</v>
      </c>
      <c r="Q166" s="34" cm="1">
        <f t="array" ref="Q166">HPFACTOr(C166)</f>
        <v>5</v>
      </c>
      <c r="R166" s="33">
        <f t="shared" si="33"/>
        <v>783.5</v>
      </c>
      <c r="S166" s="34">
        <f t="shared" si="34"/>
        <v>27489001.600000001</v>
      </c>
      <c r="T166" s="33">
        <f t="shared" si="35"/>
        <v>861.85</v>
      </c>
      <c r="U166" s="42">
        <f t="shared" si="36"/>
        <v>30973522.92957747</v>
      </c>
      <c r="V166" s="44"/>
      <c r="W166" s="29">
        <f t="shared" si="38"/>
        <v>26694530736.856342</v>
      </c>
      <c r="X166" s="41">
        <f t="shared" si="37"/>
        <v>34.635825136963497</v>
      </c>
      <c r="Y166" s="33">
        <f t="shared" si="39"/>
        <v>404.20862169567891</v>
      </c>
      <c r="Z166" s="33">
        <v>1.33</v>
      </c>
      <c r="AA166" s="29">
        <f t="shared" si="40"/>
        <v>537.59746685525295</v>
      </c>
      <c r="AB166" s="48">
        <f t="shared" si="41"/>
        <v>2988.6433869484781</v>
      </c>
      <c r="AD166" s="47">
        <f t="shared" si="42"/>
        <v>0</v>
      </c>
    </row>
    <row r="167" spans="1:30" x14ac:dyDescent="0.2">
      <c r="A167" s="30" t="s">
        <v>8856</v>
      </c>
      <c r="B167" s="29">
        <v>6</v>
      </c>
      <c r="C167" s="29">
        <v>4</v>
      </c>
      <c r="D167" s="29">
        <v>360</v>
      </c>
      <c r="E167" s="29">
        <v>6500</v>
      </c>
      <c r="F167" s="29">
        <v>18500</v>
      </c>
      <c r="G167" s="29">
        <v>6500</v>
      </c>
      <c r="H167" s="29">
        <v>83500</v>
      </c>
      <c r="I167" s="29">
        <v>11500</v>
      </c>
      <c r="J167" s="29">
        <v>135938000</v>
      </c>
      <c r="K167" s="29">
        <v>2524</v>
      </c>
      <c r="L167" s="29">
        <v>4319</v>
      </c>
      <c r="M167" s="29">
        <v>40</v>
      </c>
      <c r="N167" s="34">
        <v>45</v>
      </c>
      <c r="O167" s="29">
        <f t="shared" si="32"/>
        <v>3421.5</v>
      </c>
      <c r="P167" s="32" cm="1">
        <f t="array" ref="P167">WPNFACTOR(C167)</f>
        <v>4</v>
      </c>
      <c r="Q167" s="34" cm="1">
        <f t="array" ref="Q167">HPFACTOr(C167)</f>
        <v>4</v>
      </c>
      <c r="R167" s="33">
        <f t="shared" si="33"/>
        <v>855.375</v>
      </c>
      <c r="S167" s="34">
        <f t="shared" si="34"/>
        <v>33984500</v>
      </c>
      <c r="T167" s="33">
        <f t="shared" si="35"/>
        <v>951.60468750000007</v>
      </c>
      <c r="U167" s="42">
        <f t="shared" si="36"/>
        <v>39981764.705882356</v>
      </c>
      <c r="V167" s="44"/>
      <c r="W167" s="29">
        <f t="shared" si="38"/>
        <v>38046834708.639709</v>
      </c>
      <c r="X167" s="41">
        <f t="shared" si="37"/>
        <v>35.14705738315174</v>
      </c>
      <c r="Y167" s="33">
        <f t="shared" si="39"/>
        <v>441.65142182221751</v>
      </c>
      <c r="Z167" s="33">
        <v>1.33</v>
      </c>
      <c r="AA167" s="29">
        <f t="shared" si="40"/>
        <v>587.39639102354931</v>
      </c>
      <c r="AB167" s="48">
        <f t="shared" si="41"/>
        <v>3363.3560427169355</v>
      </c>
      <c r="AD167" s="47">
        <f t="shared" si="42"/>
        <v>0</v>
      </c>
    </row>
    <row r="168" spans="1:30" x14ac:dyDescent="0.2">
      <c r="A168" s="30" t="s">
        <v>8856</v>
      </c>
      <c r="B168" s="29">
        <v>7</v>
      </c>
      <c r="C168" s="29">
        <v>6</v>
      </c>
      <c r="D168" s="29">
        <v>390</v>
      </c>
      <c r="E168" s="29">
        <v>22500</v>
      </c>
      <c r="F168" s="29">
        <v>6500</v>
      </c>
      <c r="G168" s="29">
        <v>6500</v>
      </c>
      <c r="H168" s="29">
        <v>81500</v>
      </c>
      <c r="I168" s="29">
        <v>10500</v>
      </c>
      <c r="J168" s="29">
        <v>143440000</v>
      </c>
      <c r="K168" s="29">
        <v>1092</v>
      </c>
      <c r="L168" s="29">
        <v>2080</v>
      </c>
      <c r="M168" s="29">
        <v>10</v>
      </c>
      <c r="N168" s="34">
        <v>45</v>
      </c>
      <c r="O168" s="29">
        <f t="shared" si="32"/>
        <v>1586</v>
      </c>
      <c r="P168" s="32" cm="1">
        <f t="array" ref="P168">WPNFACTOR(C168)</f>
        <v>2</v>
      </c>
      <c r="Q168" s="34" cm="1">
        <f t="array" ref="Q168">HPFACTOr(C168)</f>
        <v>4</v>
      </c>
      <c r="R168" s="33">
        <f t="shared" si="33"/>
        <v>793</v>
      </c>
      <c r="S168" s="34">
        <f t="shared" si="34"/>
        <v>35860000</v>
      </c>
      <c r="T168" s="33">
        <f t="shared" si="35"/>
        <v>882.21250000000009</v>
      </c>
      <c r="U168" s="42">
        <f t="shared" si="36"/>
        <v>37257142.857142858</v>
      </c>
      <c r="V168" s="44"/>
      <c r="W168" s="29">
        <f t="shared" si="38"/>
        <v>32868717142.857147</v>
      </c>
      <c r="X168" s="41">
        <f t="shared" si="37"/>
        <v>34.935996098393296</v>
      </c>
      <c r="Y168" s="33">
        <f t="shared" si="39"/>
        <v>425.7902264923934</v>
      </c>
      <c r="Z168" s="33">
        <v>1.33</v>
      </c>
      <c r="AA168" s="29">
        <f t="shared" si="40"/>
        <v>566.3010012348833</v>
      </c>
      <c r="AB168" s="48">
        <f t="shared" si="41"/>
        <v>3203.2751995175176</v>
      </c>
      <c r="AD168" s="47">
        <f t="shared" si="42"/>
        <v>0</v>
      </c>
    </row>
    <row r="169" spans="1:30" x14ac:dyDescent="0.2">
      <c r="A169" s="30" t="s">
        <v>8856</v>
      </c>
      <c r="B169" s="29">
        <v>8</v>
      </c>
      <c r="C169" s="29">
        <v>3</v>
      </c>
      <c r="D169" s="29">
        <v>420</v>
      </c>
      <c r="E169" s="29">
        <v>10500</v>
      </c>
      <c r="F169" s="29">
        <v>22500</v>
      </c>
      <c r="G169" s="29">
        <v>10500</v>
      </c>
      <c r="H169" s="29">
        <v>112500</v>
      </c>
      <c r="I169" s="29">
        <v>15500</v>
      </c>
      <c r="J169" s="29">
        <v>212850000</v>
      </c>
      <c r="K169" s="29">
        <v>1837</v>
      </c>
      <c r="L169" s="29">
        <v>3148</v>
      </c>
      <c r="M169" s="29">
        <v>50</v>
      </c>
      <c r="N169" s="34">
        <v>50</v>
      </c>
      <c r="O169" s="29">
        <f t="shared" si="32"/>
        <v>2492.5</v>
      </c>
      <c r="P169" s="32" cm="1">
        <f t="array" ref="P169">WPNFACTOR(C169)</f>
        <v>2.5</v>
      </c>
      <c r="Q169" s="34" cm="1">
        <f t="array" ref="Q169">HPFACTOr(C169)</f>
        <v>4</v>
      </c>
      <c r="R169" s="33">
        <f t="shared" si="33"/>
        <v>997</v>
      </c>
      <c r="S169" s="34">
        <f t="shared" si="34"/>
        <v>53212500</v>
      </c>
      <c r="T169" s="33">
        <f t="shared" si="35"/>
        <v>1121.625</v>
      </c>
      <c r="U169" s="42">
        <f t="shared" si="36"/>
        <v>65492307.692307688</v>
      </c>
      <c r="V169" s="44"/>
      <c r="W169" s="29">
        <f t="shared" si="38"/>
        <v>73457809615.384613</v>
      </c>
      <c r="X169" s="41">
        <f t="shared" si="37"/>
        <v>36.096196826917939</v>
      </c>
      <c r="Y169" s="33">
        <f t="shared" si="39"/>
        <v>520.60638900810443</v>
      </c>
      <c r="Z169" s="33">
        <v>1.33</v>
      </c>
      <c r="AA169" s="29">
        <f t="shared" si="40"/>
        <v>692.40649738077889</v>
      </c>
      <c r="AB169" s="48">
        <f t="shared" si="41"/>
        <v>4188.0577159847408</v>
      </c>
      <c r="AD169" s="47">
        <f t="shared" si="42"/>
        <v>0</v>
      </c>
    </row>
    <row r="170" spans="1:30" x14ac:dyDescent="0.2">
      <c r="A170" s="30" t="s">
        <v>8856</v>
      </c>
      <c r="B170" s="29">
        <v>9</v>
      </c>
      <c r="C170" s="29">
        <v>6</v>
      </c>
      <c r="D170" s="29">
        <v>455</v>
      </c>
      <c r="E170" s="29">
        <v>29500</v>
      </c>
      <c r="F170" s="29">
        <v>7000</v>
      </c>
      <c r="G170" s="29">
        <v>7000</v>
      </c>
      <c r="H170" s="29">
        <v>115000</v>
      </c>
      <c r="I170" s="29">
        <v>16000</v>
      </c>
      <c r="J170" s="29">
        <v>235290000</v>
      </c>
      <c r="K170" s="29">
        <v>1296</v>
      </c>
      <c r="L170" s="29">
        <v>2441</v>
      </c>
      <c r="M170" s="29">
        <v>50</v>
      </c>
      <c r="N170" s="34">
        <v>55</v>
      </c>
      <c r="O170" s="29">
        <f t="shared" si="32"/>
        <v>1868.5</v>
      </c>
      <c r="P170" s="32" cm="1">
        <f t="array" ref="P170">WPNFACTOR(C170)</f>
        <v>2</v>
      </c>
      <c r="Q170" s="34" cm="1">
        <f t="array" ref="Q170">HPFACTOr(C170)</f>
        <v>4</v>
      </c>
      <c r="R170" s="33">
        <f t="shared" si="33"/>
        <v>934.25</v>
      </c>
      <c r="S170" s="34">
        <f t="shared" si="34"/>
        <v>58822500</v>
      </c>
      <c r="T170" s="33">
        <f t="shared" si="35"/>
        <v>1062.7093749999999</v>
      </c>
      <c r="U170" s="42">
        <f t="shared" si="36"/>
        <v>72396923.076923072</v>
      </c>
      <c r="V170" s="44"/>
      <c r="W170" s="29">
        <f t="shared" si="38"/>
        <v>76936888874.999985</v>
      </c>
      <c r="X170" s="41">
        <f t="shared" si="37"/>
        <v>36.162956440902775</v>
      </c>
      <c r="Y170" s="33">
        <f t="shared" si="39"/>
        <v>526.66402653439854</v>
      </c>
      <c r="Z170" s="33">
        <v>1.33</v>
      </c>
      <c r="AA170" s="29">
        <f t="shared" si="40"/>
        <v>700.46315529075014</v>
      </c>
      <c r="AB170" s="48">
        <f t="shared" si="41"/>
        <v>4253.1582315029063</v>
      </c>
      <c r="AD170" s="47">
        <f t="shared" si="42"/>
        <v>0</v>
      </c>
    </row>
    <row r="171" spans="1:30" x14ac:dyDescent="0.2">
      <c r="A171" s="30" t="s">
        <v>8856</v>
      </c>
      <c r="B171" s="29">
        <v>10</v>
      </c>
      <c r="C171" s="29">
        <v>6</v>
      </c>
      <c r="D171" s="29">
        <v>500</v>
      </c>
      <c r="E171" s="29">
        <v>38500</v>
      </c>
      <c r="F171" s="29">
        <v>10500</v>
      </c>
      <c r="G171" s="29">
        <v>10500</v>
      </c>
      <c r="H171" s="29">
        <v>158000</v>
      </c>
      <c r="I171" s="29">
        <v>23000</v>
      </c>
      <c r="J171" s="29">
        <v>354552000</v>
      </c>
      <c r="K171" s="29">
        <v>1413</v>
      </c>
      <c r="L171" s="29">
        <v>2699</v>
      </c>
      <c r="M171" s="29">
        <v>60</v>
      </c>
      <c r="N171" s="34">
        <v>60</v>
      </c>
      <c r="O171" s="29">
        <f t="shared" si="32"/>
        <v>2056</v>
      </c>
      <c r="P171" s="32" cm="1">
        <f t="array" ref="P171">WPNFACTOR(C171)</f>
        <v>2</v>
      </c>
      <c r="Q171" s="34" cm="1">
        <f t="array" ref="Q171">HPFACTOr(C171)</f>
        <v>4</v>
      </c>
      <c r="R171" s="33">
        <f t="shared" si="33"/>
        <v>1028</v>
      </c>
      <c r="S171" s="34">
        <f t="shared" si="34"/>
        <v>88638000</v>
      </c>
      <c r="T171" s="33">
        <f t="shared" si="35"/>
        <v>1182.1999999999998</v>
      </c>
      <c r="U171" s="42">
        <f t="shared" si="36"/>
        <v>114371612.90322581</v>
      </c>
      <c r="V171" s="44"/>
      <c r="W171" s="29">
        <f t="shared" si="38"/>
        <v>135210120774.19353</v>
      </c>
      <c r="X171" s="41">
        <f t="shared" si="37"/>
        <v>36.976412188311997</v>
      </c>
      <c r="Y171" s="33">
        <f t="shared" si="39"/>
        <v>606.3903762412798</v>
      </c>
      <c r="Z171" s="33">
        <v>1.33</v>
      </c>
      <c r="AA171" s="29">
        <f t="shared" si="40"/>
        <v>806.49920040090217</v>
      </c>
      <c r="AB171" s="48">
        <f t="shared" si="41"/>
        <v>5132.5879527647348</v>
      </c>
      <c r="AD171" s="47">
        <f t="shared" si="42"/>
        <v>0</v>
      </c>
    </row>
    <row r="172" spans="1:30" x14ac:dyDescent="0.2">
      <c r="A172" s="30" t="s">
        <v>8857</v>
      </c>
      <c r="B172" s="29">
        <v>1</v>
      </c>
      <c r="C172" s="29">
        <v>2</v>
      </c>
      <c r="D172" s="29">
        <v>210</v>
      </c>
      <c r="E172" s="29">
        <v>2000</v>
      </c>
      <c r="F172" s="29">
        <v>2000</v>
      </c>
      <c r="G172" s="29">
        <v>8000</v>
      </c>
      <c r="H172" s="29">
        <v>80000</v>
      </c>
      <c r="I172" s="29">
        <v>4000</v>
      </c>
      <c r="J172" s="29">
        <v>52800000</v>
      </c>
      <c r="K172" s="29">
        <v>630</v>
      </c>
      <c r="L172" s="29">
        <v>1265</v>
      </c>
      <c r="M172" s="29">
        <v>5</v>
      </c>
      <c r="N172" s="34">
        <v>30</v>
      </c>
      <c r="O172" s="29">
        <f t="shared" si="32"/>
        <v>947.5</v>
      </c>
      <c r="P172" s="32" cm="1">
        <f t="array" ref="P172">WPNFACTOR(C172)</f>
        <v>4.5</v>
      </c>
      <c r="Q172" s="34" cm="1">
        <f t="array" ref="Q172">HPFACTOr(C172)</f>
        <v>2</v>
      </c>
      <c r="R172" s="33">
        <f t="shared" si="33"/>
        <v>210.55555555555554</v>
      </c>
      <c r="S172" s="34">
        <f t="shared" si="34"/>
        <v>26400000</v>
      </c>
      <c r="T172" s="33">
        <f t="shared" si="35"/>
        <v>226.3472222222222</v>
      </c>
      <c r="U172" s="42">
        <f t="shared" si="36"/>
        <v>26904458.598726116</v>
      </c>
      <c r="V172" s="44"/>
      <c r="W172" s="29">
        <f t="shared" si="38"/>
        <v>6089749469.2144375</v>
      </c>
      <c r="X172" s="41">
        <f t="shared" si="37"/>
        <v>32.50373573122188</v>
      </c>
      <c r="Y172" s="33">
        <f t="shared" si="39"/>
        <v>279.35075956355536</v>
      </c>
      <c r="Z172" s="33">
        <v>1.33</v>
      </c>
      <c r="AA172" s="29">
        <f t="shared" si="40"/>
        <v>371.53651021952862</v>
      </c>
      <c r="AB172" s="48">
        <f t="shared" si="41"/>
        <v>1826.136100684801</v>
      </c>
      <c r="AC172" s="29">
        <v>259</v>
      </c>
      <c r="AD172" s="47">
        <f t="shared" si="42"/>
        <v>0.14182951637770866</v>
      </c>
    </row>
    <row r="173" spans="1:30" x14ac:dyDescent="0.2">
      <c r="A173" s="30" t="s">
        <v>8857</v>
      </c>
      <c r="B173" s="29">
        <v>2</v>
      </c>
      <c r="C173" s="29">
        <v>1</v>
      </c>
      <c r="D173" s="29">
        <v>240</v>
      </c>
      <c r="E173" s="29">
        <v>12000</v>
      </c>
      <c r="F173" s="29">
        <v>4000</v>
      </c>
      <c r="G173" s="29">
        <v>4000</v>
      </c>
      <c r="H173" s="29">
        <v>100000</v>
      </c>
      <c r="I173" s="29">
        <v>5000</v>
      </c>
      <c r="J173" s="29">
        <v>187500000</v>
      </c>
      <c r="K173" s="29">
        <v>320</v>
      </c>
      <c r="L173" s="29">
        <v>639</v>
      </c>
      <c r="M173" s="29">
        <v>10</v>
      </c>
      <c r="N173" s="34">
        <v>35</v>
      </c>
      <c r="O173" s="29">
        <f t="shared" si="32"/>
        <v>479.5</v>
      </c>
      <c r="P173" s="32" cm="1">
        <f t="array" ref="P173">WPNFACTOR(C173)</f>
        <v>2</v>
      </c>
      <c r="Q173" s="34" cm="1">
        <f t="array" ref="Q173">HPFACTOr(C173)</f>
        <v>5</v>
      </c>
      <c r="R173" s="33">
        <f t="shared" si="33"/>
        <v>239.75</v>
      </c>
      <c r="S173" s="34">
        <f t="shared" si="34"/>
        <v>37500000</v>
      </c>
      <c r="T173" s="33">
        <f t="shared" si="35"/>
        <v>260.72812499999998</v>
      </c>
      <c r="U173" s="42">
        <f t="shared" si="36"/>
        <v>38961038.961038962</v>
      </c>
      <c r="V173" s="44"/>
      <c r="W173" s="29">
        <f t="shared" si="38"/>
        <v>10158238636.363636</v>
      </c>
      <c r="X173" s="41">
        <f t="shared" si="37"/>
        <v>33.241931219992011</v>
      </c>
      <c r="Y173" s="33">
        <f t="shared" si="39"/>
        <v>317.47139677481317</v>
      </c>
      <c r="Z173" s="33">
        <v>1.33</v>
      </c>
      <c r="AA173" s="29">
        <f t="shared" si="40"/>
        <v>422.23695771050154</v>
      </c>
      <c r="AB173" s="48">
        <f t="shared" si="41"/>
        <v>2165.7390985041493</v>
      </c>
      <c r="AD173" s="47">
        <f t="shared" si="42"/>
        <v>0</v>
      </c>
    </row>
    <row r="174" spans="1:30" x14ac:dyDescent="0.2">
      <c r="A174" s="30" t="s">
        <v>8857</v>
      </c>
      <c r="B174" s="29">
        <v>3</v>
      </c>
      <c r="C174" s="29">
        <v>3</v>
      </c>
      <c r="D174" s="29">
        <v>270</v>
      </c>
      <c r="E174" s="29">
        <v>6000</v>
      </c>
      <c r="F174" s="29">
        <v>16000</v>
      </c>
      <c r="G174" s="29">
        <v>6000</v>
      </c>
      <c r="H174" s="29">
        <v>120000</v>
      </c>
      <c r="I174" s="29">
        <v>6000</v>
      </c>
      <c r="J174" s="29">
        <v>201600000</v>
      </c>
      <c r="K174" s="29">
        <v>450</v>
      </c>
      <c r="L174" s="29">
        <v>899</v>
      </c>
      <c r="M174" s="29">
        <v>15</v>
      </c>
      <c r="N174" s="34">
        <v>35</v>
      </c>
      <c r="O174" s="29">
        <f t="shared" si="32"/>
        <v>674.5</v>
      </c>
      <c r="P174" s="32" cm="1">
        <f t="array" ref="P174">WPNFACTOR(C174)</f>
        <v>2.5</v>
      </c>
      <c r="Q174" s="34" cm="1">
        <f t="array" ref="Q174">HPFACTOr(C174)</f>
        <v>4</v>
      </c>
      <c r="R174" s="33">
        <f t="shared" si="33"/>
        <v>269.8</v>
      </c>
      <c r="S174" s="34">
        <f t="shared" si="34"/>
        <v>50400000</v>
      </c>
      <c r="T174" s="33">
        <f t="shared" si="35"/>
        <v>293.40749999999997</v>
      </c>
      <c r="U174" s="42">
        <f t="shared" si="36"/>
        <v>53403973.509933777</v>
      </c>
      <c r="V174" s="44"/>
      <c r="W174" s="29">
        <f t="shared" si="38"/>
        <v>15669126357.615892</v>
      </c>
      <c r="X174" s="41">
        <f t="shared" si="37"/>
        <v>33.867205692521281</v>
      </c>
      <c r="Y174" s="33">
        <f t="shared" si="39"/>
        <v>353.80274304964018</v>
      </c>
      <c r="Z174" s="33">
        <v>1.33</v>
      </c>
      <c r="AA174" s="29">
        <f t="shared" si="40"/>
        <v>470.55764825602148</v>
      </c>
      <c r="AB174" s="48">
        <f t="shared" si="41"/>
        <v>2502.3511938013876</v>
      </c>
      <c r="AD174" s="47">
        <f t="shared" si="42"/>
        <v>0</v>
      </c>
    </row>
    <row r="175" spans="1:30" x14ac:dyDescent="0.2">
      <c r="A175" s="30" t="s">
        <v>8857</v>
      </c>
      <c r="B175" s="29">
        <v>4</v>
      </c>
      <c r="C175" s="29">
        <v>2</v>
      </c>
      <c r="D175" s="29">
        <v>305</v>
      </c>
      <c r="E175" s="29">
        <v>8000</v>
      </c>
      <c r="F175" s="29">
        <v>8000</v>
      </c>
      <c r="G175" s="29">
        <v>20000</v>
      </c>
      <c r="H175" s="29">
        <v>140000</v>
      </c>
      <c r="I175" s="29">
        <v>7000</v>
      </c>
      <c r="J175" s="29">
        <v>132300000</v>
      </c>
      <c r="K175" s="29">
        <v>920</v>
      </c>
      <c r="L175" s="29">
        <v>1829</v>
      </c>
      <c r="M175" s="29">
        <v>20</v>
      </c>
      <c r="N175" s="34">
        <v>40</v>
      </c>
      <c r="O175" s="29">
        <f t="shared" si="32"/>
        <v>1374.5</v>
      </c>
      <c r="P175" s="32" cm="1">
        <f t="array" ref="P175">WPNFACTOR(C175)</f>
        <v>4.5</v>
      </c>
      <c r="Q175" s="34" cm="1">
        <f t="array" ref="Q175">HPFACTOr(C175)</f>
        <v>2</v>
      </c>
      <c r="R175" s="33">
        <f t="shared" si="33"/>
        <v>305.44444444444446</v>
      </c>
      <c r="S175" s="34">
        <f t="shared" si="34"/>
        <v>66150000</v>
      </c>
      <c r="T175" s="33">
        <f t="shared" si="35"/>
        <v>335.98888888888894</v>
      </c>
      <c r="U175" s="42">
        <f t="shared" si="36"/>
        <v>71513513.51351352</v>
      </c>
      <c r="V175" s="44"/>
      <c r="W175" s="29">
        <f t="shared" si="38"/>
        <v>24027745945.945953</v>
      </c>
      <c r="X175" s="41">
        <f t="shared" si="37"/>
        <v>34.483982263794481</v>
      </c>
      <c r="Y175" s="33">
        <f t="shared" si="39"/>
        <v>393.71164275019714</v>
      </c>
      <c r="Z175" s="33">
        <v>1.33</v>
      </c>
      <c r="AA175" s="29">
        <f t="shared" si="40"/>
        <v>523.63648485776218</v>
      </c>
      <c r="AB175" s="48">
        <f t="shared" si="41"/>
        <v>2885.6102841623665</v>
      </c>
      <c r="AD175" s="47">
        <f t="shared" si="42"/>
        <v>0</v>
      </c>
    </row>
    <row r="176" spans="1:30" x14ac:dyDescent="0.2">
      <c r="A176" s="30" t="s">
        <v>8857</v>
      </c>
      <c r="B176" s="29">
        <v>5</v>
      </c>
      <c r="C176" s="29">
        <v>2</v>
      </c>
      <c r="D176" s="29">
        <v>330</v>
      </c>
      <c r="E176" s="29">
        <v>10000</v>
      </c>
      <c r="F176" s="29">
        <v>10000</v>
      </c>
      <c r="G176" s="29">
        <v>24000</v>
      </c>
      <c r="H176" s="29">
        <v>160000</v>
      </c>
      <c r="I176" s="29">
        <v>8000</v>
      </c>
      <c r="J176" s="29">
        <v>163200000</v>
      </c>
      <c r="K176" s="29">
        <v>1000</v>
      </c>
      <c r="L176" s="29">
        <v>1989</v>
      </c>
      <c r="M176" s="29">
        <v>25</v>
      </c>
      <c r="N176" s="34">
        <v>40</v>
      </c>
      <c r="O176" s="29">
        <f t="shared" si="32"/>
        <v>1494.5</v>
      </c>
      <c r="P176" s="32" cm="1">
        <f t="array" ref="P176">WPNFACTOR(C176)</f>
        <v>4.5</v>
      </c>
      <c r="Q176" s="34" cm="1">
        <f t="array" ref="Q176">HPFACTOr(C176)</f>
        <v>2</v>
      </c>
      <c r="R176" s="33">
        <f t="shared" si="33"/>
        <v>332.11111111111109</v>
      </c>
      <c r="S176" s="34">
        <f t="shared" si="34"/>
        <v>81600000</v>
      </c>
      <c r="T176" s="33">
        <f t="shared" si="35"/>
        <v>365.32222222222225</v>
      </c>
      <c r="U176" s="42">
        <f t="shared" si="36"/>
        <v>90041379.31034483</v>
      </c>
      <c r="V176" s="44"/>
      <c r="W176" s="29">
        <f t="shared" si="38"/>
        <v>32894116781.6092</v>
      </c>
      <c r="X176" s="41">
        <f t="shared" si="37"/>
        <v>34.937110525266455</v>
      </c>
      <c r="Y176" s="33">
        <f t="shared" si="39"/>
        <v>425.87246110851765</v>
      </c>
      <c r="Z176" s="33">
        <v>1.33</v>
      </c>
      <c r="AA176" s="29">
        <f t="shared" si="40"/>
        <v>566.41037327432855</v>
      </c>
      <c r="AB176" s="48">
        <f t="shared" si="41"/>
        <v>3204.1001083383485</v>
      </c>
      <c r="AD176" s="47">
        <f t="shared" si="42"/>
        <v>0</v>
      </c>
    </row>
    <row r="177" spans="1:30" x14ac:dyDescent="0.2">
      <c r="A177" s="30" t="s">
        <v>8857</v>
      </c>
      <c r="B177" s="29">
        <v>6</v>
      </c>
      <c r="C177" s="29">
        <v>1</v>
      </c>
      <c r="D177" s="29">
        <v>360</v>
      </c>
      <c r="E177" s="29">
        <v>28000</v>
      </c>
      <c r="F177" s="29">
        <v>12000</v>
      </c>
      <c r="G177" s="29">
        <v>12000</v>
      </c>
      <c r="H177" s="29">
        <v>180000</v>
      </c>
      <c r="I177" s="29">
        <v>10000</v>
      </c>
      <c r="J177" s="29">
        <v>499500000</v>
      </c>
      <c r="K177" s="29">
        <v>480</v>
      </c>
      <c r="L177" s="29">
        <v>959</v>
      </c>
      <c r="M177" s="29">
        <v>40</v>
      </c>
      <c r="N177" s="34">
        <v>45</v>
      </c>
      <c r="O177" s="29">
        <f t="shared" si="32"/>
        <v>719.5</v>
      </c>
      <c r="P177" s="32" cm="1">
        <f t="array" ref="P177">WPNFACTOR(C177)</f>
        <v>2</v>
      </c>
      <c r="Q177" s="34" cm="1">
        <f t="array" ref="Q177">HPFACTOr(C177)</f>
        <v>5</v>
      </c>
      <c r="R177" s="33">
        <f t="shared" si="33"/>
        <v>359.75</v>
      </c>
      <c r="S177" s="34">
        <f t="shared" si="34"/>
        <v>99900000</v>
      </c>
      <c r="T177" s="33">
        <f t="shared" si="35"/>
        <v>400.22187500000001</v>
      </c>
      <c r="U177" s="42">
        <f t="shared" si="36"/>
        <v>117529411.7647059</v>
      </c>
      <c r="V177" s="44"/>
      <c r="W177" s="29">
        <f t="shared" si="38"/>
        <v>47037841544.117653</v>
      </c>
      <c r="X177" s="41">
        <f t="shared" si="37"/>
        <v>35.453102808685586</v>
      </c>
      <c r="Y177" s="33">
        <f t="shared" si="39"/>
        <v>465.70601385449515</v>
      </c>
      <c r="Z177" s="33">
        <v>1.33</v>
      </c>
      <c r="AA177" s="29">
        <f t="shared" si="40"/>
        <v>619.38899842647857</v>
      </c>
      <c r="AB177" s="48">
        <f t="shared" si="41"/>
        <v>3609.794356144494</v>
      </c>
      <c r="AD177" s="47">
        <f t="shared" si="42"/>
        <v>0</v>
      </c>
    </row>
    <row r="178" spans="1:30" x14ac:dyDescent="0.2">
      <c r="A178" s="30" t="s">
        <v>8857</v>
      </c>
      <c r="B178" s="29">
        <v>7</v>
      </c>
      <c r="C178" s="29">
        <v>1</v>
      </c>
      <c r="D178" s="29">
        <v>390</v>
      </c>
      <c r="E178" s="29">
        <v>32000</v>
      </c>
      <c r="F178" s="29">
        <v>14000</v>
      </c>
      <c r="G178" s="29">
        <v>14000</v>
      </c>
      <c r="H178" s="29">
        <v>200000</v>
      </c>
      <c r="I178" s="29">
        <v>11000</v>
      </c>
      <c r="J178" s="29">
        <v>600000000</v>
      </c>
      <c r="K178" s="29">
        <v>520</v>
      </c>
      <c r="L178" s="29">
        <v>1049</v>
      </c>
      <c r="M178" s="29">
        <v>20</v>
      </c>
      <c r="N178" s="34">
        <v>45</v>
      </c>
      <c r="O178" s="29">
        <f t="shared" si="32"/>
        <v>784.5</v>
      </c>
      <c r="P178" s="32" cm="1">
        <f t="array" ref="P178">WPNFACTOR(C178)</f>
        <v>2</v>
      </c>
      <c r="Q178" s="34" cm="1">
        <f t="array" ref="Q178">HPFACTOr(C178)</f>
        <v>5</v>
      </c>
      <c r="R178" s="33">
        <f t="shared" si="33"/>
        <v>392.25</v>
      </c>
      <c r="S178" s="34">
        <f t="shared" si="34"/>
        <v>120000000</v>
      </c>
      <c r="T178" s="33">
        <f t="shared" si="35"/>
        <v>436.37812500000001</v>
      </c>
      <c r="U178" s="42">
        <f t="shared" si="36"/>
        <v>129729729.72972973</v>
      </c>
      <c r="V178" s="44"/>
      <c r="W178" s="29">
        <f t="shared" si="38"/>
        <v>56611216216.216217</v>
      </c>
      <c r="X178" s="41">
        <f t="shared" si="37"/>
        <v>35.720368867238243</v>
      </c>
      <c r="Y178" s="33">
        <f t="shared" si="39"/>
        <v>487.78183292975598</v>
      </c>
      <c r="Z178" s="33">
        <v>1.33</v>
      </c>
      <c r="AA178" s="29">
        <f t="shared" si="40"/>
        <v>648.74983779657543</v>
      </c>
      <c r="AB178" s="48">
        <f t="shared" si="41"/>
        <v>3839.7312505468062</v>
      </c>
      <c r="AD178" s="47">
        <f t="shared" si="42"/>
        <v>0</v>
      </c>
    </row>
    <row r="179" spans="1:30" x14ac:dyDescent="0.2">
      <c r="A179" s="30" t="s">
        <v>8857</v>
      </c>
      <c r="B179" s="29">
        <v>8</v>
      </c>
      <c r="C179" s="29">
        <v>3</v>
      </c>
      <c r="D179" s="29">
        <v>420</v>
      </c>
      <c r="E179" s="29">
        <v>16000</v>
      </c>
      <c r="F179" s="29">
        <v>36000</v>
      </c>
      <c r="G179" s="29">
        <v>16000</v>
      </c>
      <c r="H179" s="29">
        <v>220000</v>
      </c>
      <c r="I179" s="29">
        <v>12000</v>
      </c>
      <c r="J179" s="29">
        <v>567600000</v>
      </c>
      <c r="K179" s="29">
        <v>700</v>
      </c>
      <c r="L179" s="29">
        <v>1399</v>
      </c>
      <c r="M179" s="29">
        <v>60</v>
      </c>
      <c r="N179" s="34">
        <v>50</v>
      </c>
      <c r="O179" s="29">
        <f t="shared" si="32"/>
        <v>1049.5</v>
      </c>
      <c r="P179" s="32" cm="1">
        <f t="array" ref="P179">WPNFACTOR(C179)</f>
        <v>2.5</v>
      </c>
      <c r="Q179" s="34" cm="1">
        <f t="array" ref="Q179">HPFACTOr(C179)</f>
        <v>4</v>
      </c>
      <c r="R179" s="33">
        <f t="shared" si="33"/>
        <v>419.8</v>
      </c>
      <c r="S179" s="34">
        <f t="shared" si="34"/>
        <v>141900000</v>
      </c>
      <c r="T179" s="33">
        <f t="shared" si="35"/>
        <v>472.27500000000003</v>
      </c>
      <c r="U179" s="42">
        <f t="shared" si="36"/>
        <v>183096774.19354838</v>
      </c>
      <c r="V179" s="44"/>
      <c r="W179" s="29">
        <f t="shared" si="38"/>
        <v>86472029032.258072</v>
      </c>
      <c r="X179" s="41">
        <f t="shared" si="37"/>
        <v>36.331514490844953</v>
      </c>
      <c r="Y179" s="33">
        <f t="shared" si="39"/>
        <v>542.27416265255874</v>
      </c>
      <c r="Z179" s="33">
        <v>1.33</v>
      </c>
      <c r="AA179" s="29">
        <f t="shared" si="40"/>
        <v>721.22463632790311</v>
      </c>
      <c r="AB179" s="48">
        <f t="shared" si="41"/>
        <v>4422.0659628023823</v>
      </c>
      <c r="AD179" s="47">
        <f t="shared" si="42"/>
        <v>0</v>
      </c>
    </row>
    <row r="180" spans="1:30" x14ac:dyDescent="0.2">
      <c r="A180" s="30" t="s">
        <v>8857</v>
      </c>
      <c r="B180" s="29">
        <v>9</v>
      </c>
      <c r="C180" s="29">
        <v>3</v>
      </c>
      <c r="D180" s="29">
        <v>455</v>
      </c>
      <c r="E180" s="29">
        <v>28000</v>
      </c>
      <c r="F180" s="29">
        <v>40000</v>
      </c>
      <c r="G180" s="29">
        <v>28000</v>
      </c>
      <c r="H180" s="29">
        <v>250000</v>
      </c>
      <c r="I180" s="29">
        <v>13000</v>
      </c>
      <c r="J180" s="29">
        <v>697500032</v>
      </c>
      <c r="K180" s="29">
        <v>760</v>
      </c>
      <c r="L180" s="29">
        <v>1519</v>
      </c>
      <c r="M180" s="29">
        <v>60</v>
      </c>
      <c r="N180" s="34">
        <v>60</v>
      </c>
      <c r="O180" s="29">
        <f t="shared" si="32"/>
        <v>1139.5</v>
      </c>
      <c r="P180" s="32" cm="1">
        <f t="array" ref="P180">WPNFACTOR(C180)</f>
        <v>2.5</v>
      </c>
      <c r="Q180" s="34" cm="1">
        <f t="array" ref="Q180">HPFACTOr(C180)</f>
        <v>4</v>
      </c>
      <c r="R180" s="33">
        <f t="shared" si="33"/>
        <v>455.8</v>
      </c>
      <c r="S180" s="34">
        <f t="shared" si="34"/>
        <v>174375008</v>
      </c>
      <c r="T180" s="33">
        <f t="shared" si="35"/>
        <v>524.16999999999996</v>
      </c>
      <c r="U180" s="42">
        <f t="shared" si="36"/>
        <v>225000010.32258067</v>
      </c>
      <c r="V180" s="44"/>
      <c r="W180" s="29">
        <f t="shared" si="38"/>
        <v>117938255410.78709</v>
      </c>
      <c r="X180" s="41">
        <f t="shared" si="37"/>
        <v>36.779240802276959</v>
      </c>
      <c r="Y180" s="33">
        <f t="shared" si="39"/>
        <v>586.02166876520653</v>
      </c>
      <c r="Z180" s="33">
        <v>1.33</v>
      </c>
      <c r="AA180" s="29">
        <f t="shared" si="40"/>
        <v>779.40881945772469</v>
      </c>
      <c r="AB180" s="48">
        <f t="shared" si="41"/>
        <v>4904.0124764219145</v>
      </c>
      <c r="AD180" s="47">
        <f t="shared" si="42"/>
        <v>0</v>
      </c>
    </row>
    <row r="181" spans="1:30" x14ac:dyDescent="0.2">
      <c r="A181" s="30" t="s">
        <v>8857</v>
      </c>
      <c r="B181" s="29">
        <v>10</v>
      </c>
      <c r="C181" s="29">
        <v>2</v>
      </c>
      <c r="D181" s="29">
        <v>500</v>
      </c>
      <c r="E181" s="29">
        <v>33333</v>
      </c>
      <c r="F181" s="29">
        <v>33333</v>
      </c>
      <c r="G181" s="29">
        <v>44444</v>
      </c>
      <c r="H181" s="29">
        <v>300000</v>
      </c>
      <c r="I181" s="29">
        <v>15000</v>
      </c>
      <c r="J181" s="29">
        <v>459000000</v>
      </c>
      <c r="K181" s="29">
        <v>1500</v>
      </c>
      <c r="L181" s="29">
        <v>2996</v>
      </c>
      <c r="M181" s="29">
        <v>60</v>
      </c>
      <c r="N181" s="34">
        <v>60</v>
      </c>
      <c r="O181" s="29">
        <f t="shared" si="32"/>
        <v>2248</v>
      </c>
      <c r="P181" s="32" cm="1">
        <f t="array" ref="P181">WPNFACTOR(C181)</f>
        <v>4.5</v>
      </c>
      <c r="Q181" s="34" cm="1">
        <f t="array" ref="Q181">HPFACTOr(C181)</f>
        <v>2</v>
      </c>
      <c r="R181" s="33">
        <f t="shared" si="33"/>
        <v>499.55555555555554</v>
      </c>
      <c r="S181" s="34">
        <f t="shared" si="34"/>
        <v>229500000</v>
      </c>
      <c r="T181" s="33">
        <f t="shared" si="35"/>
        <v>574.48888888888882</v>
      </c>
      <c r="U181" s="42">
        <f t="shared" si="36"/>
        <v>296129032.25806451</v>
      </c>
      <c r="V181" s="44"/>
      <c r="W181" s="29">
        <f t="shared" si="38"/>
        <v>170122838709.6774</v>
      </c>
      <c r="X181" s="41">
        <f t="shared" si="37"/>
        <v>37.307785877186731</v>
      </c>
      <c r="Y181" s="33">
        <f t="shared" si="39"/>
        <v>642.23009854571774</v>
      </c>
      <c r="Z181" s="33">
        <v>1.33</v>
      </c>
      <c r="AA181" s="29">
        <f t="shared" si="40"/>
        <v>854.16603106580465</v>
      </c>
      <c r="AB181" s="48">
        <f t="shared" si="41"/>
        <v>5540.9922187866996</v>
      </c>
      <c r="AD181" s="47">
        <f t="shared" si="42"/>
        <v>0</v>
      </c>
    </row>
    <row r="182" spans="1:30" x14ac:dyDescent="0.2">
      <c r="A182" s="30" t="s">
        <v>8858</v>
      </c>
      <c r="B182" s="29">
        <v>1</v>
      </c>
      <c r="C182" s="29">
        <v>2</v>
      </c>
      <c r="D182" s="29">
        <v>410</v>
      </c>
      <c r="E182" s="29">
        <v>7000</v>
      </c>
      <c r="F182" s="29">
        <v>7000</v>
      </c>
      <c r="G182" s="29">
        <v>20000</v>
      </c>
      <c r="H182" s="29">
        <v>18000</v>
      </c>
      <c r="I182" s="29">
        <v>4000</v>
      </c>
      <c r="J182" s="29">
        <v>10000000</v>
      </c>
      <c r="K182" s="29">
        <v>1416</v>
      </c>
      <c r="L182" s="29">
        <v>2290</v>
      </c>
      <c r="N182" s="34"/>
      <c r="O182" s="29">
        <f t="shared" si="32"/>
        <v>1853</v>
      </c>
      <c r="P182" s="32" cm="1">
        <f t="array" ref="P182">WPNFACTOR(C182)</f>
        <v>4.5</v>
      </c>
      <c r="Q182" s="34" cm="1">
        <f t="array" ref="Q182">HPFACTOr(C182)</f>
        <v>2</v>
      </c>
      <c r="R182" s="33">
        <f t="shared" si="33"/>
        <v>411.77777777777777</v>
      </c>
      <c r="S182" s="34">
        <f t="shared" si="34"/>
        <v>5000000</v>
      </c>
      <c r="T182" s="33">
        <f t="shared" si="35"/>
        <v>411.77777777777777</v>
      </c>
      <c r="U182" s="42">
        <f t="shared" si="36"/>
        <v>5000000</v>
      </c>
      <c r="V182" s="44"/>
      <c r="W182" s="29">
        <f t="shared" si="38"/>
        <v>2058888888.8888888</v>
      </c>
      <c r="X182" s="41">
        <f t="shared" si="37"/>
        <v>30.939218828796488</v>
      </c>
      <c r="Y182" s="33">
        <f t="shared" si="39"/>
        <v>213.01403913661417</v>
      </c>
      <c r="Z182" s="33">
        <v>1.33</v>
      </c>
      <c r="AA182" s="29">
        <f t="shared" si="40"/>
        <v>283.30867205169687</v>
      </c>
      <c r="AB182" s="48">
        <f t="shared" si="41"/>
        <v>1272.1675199499355</v>
      </c>
      <c r="AC182" s="29">
        <v>270</v>
      </c>
      <c r="AD182" s="47">
        <f t="shared" si="42"/>
        <v>0.21223619984467573</v>
      </c>
    </row>
    <row r="183" spans="1:30" x14ac:dyDescent="0.2">
      <c r="A183" s="30" t="s">
        <v>8858</v>
      </c>
      <c r="B183" s="29">
        <v>2</v>
      </c>
      <c r="C183" s="29">
        <v>1</v>
      </c>
      <c r="D183" s="29">
        <v>420</v>
      </c>
      <c r="E183" s="29">
        <v>24000</v>
      </c>
      <c r="F183" s="29">
        <v>8500</v>
      </c>
      <c r="G183" s="29">
        <v>8500</v>
      </c>
      <c r="H183" s="29">
        <v>20000</v>
      </c>
      <c r="I183" s="29">
        <v>5000</v>
      </c>
      <c r="J183" s="29">
        <v>30000000</v>
      </c>
      <c r="K183" s="29">
        <v>651</v>
      </c>
      <c r="L183" s="29">
        <v>1049</v>
      </c>
      <c r="N183" s="34"/>
      <c r="O183" s="29">
        <f t="shared" si="32"/>
        <v>850</v>
      </c>
      <c r="P183" s="32" cm="1">
        <f t="array" ref="P183">WPNFACTOR(C183)</f>
        <v>2</v>
      </c>
      <c r="Q183" s="34" cm="1">
        <f t="array" ref="Q183">HPFACTOr(C183)</f>
        <v>5</v>
      </c>
      <c r="R183" s="33">
        <f t="shared" si="33"/>
        <v>425</v>
      </c>
      <c r="S183" s="34">
        <f t="shared" si="34"/>
        <v>6000000</v>
      </c>
      <c r="T183" s="33">
        <f t="shared" si="35"/>
        <v>425</v>
      </c>
      <c r="U183" s="42">
        <f t="shared" si="36"/>
        <v>6000000</v>
      </c>
      <c r="V183" s="44"/>
      <c r="W183" s="29">
        <f t="shared" si="38"/>
        <v>2550000000</v>
      </c>
      <c r="X183" s="41">
        <f t="shared" si="37"/>
        <v>31.247850101070394</v>
      </c>
      <c r="Y183" s="33">
        <f t="shared" si="39"/>
        <v>224.71654298651535</v>
      </c>
      <c r="Z183" s="33">
        <v>1.33</v>
      </c>
      <c r="AA183" s="29">
        <f t="shared" si="40"/>
        <v>298.87300217206541</v>
      </c>
      <c r="AB183" s="48">
        <f t="shared" si="41"/>
        <v>1366.1972080472335</v>
      </c>
      <c r="AC183" s="29">
        <v>280</v>
      </c>
      <c r="AD183" s="47">
        <f t="shared" si="42"/>
        <v>0.20494844986560648</v>
      </c>
    </row>
    <row r="184" spans="1:30" x14ac:dyDescent="0.2">
      <c r="A184" s="30" t="s">
        <v>8858</v>
      </c>
      <c r="B184" s="29">
        <v>3</v>
      </c>
      <c r="C184" s="29">
        <v>1</v>
      </c>
      <c r="D184" s="29">
        <v>430</v>
      </c>
      <c r="E184" s="29">
        <v>29000</v>
      </c>
      <c r="F184" s="29">
        <v>10000</v>
      </c>
      <c r="G184" s="29">
        <v>10000</v>
      </c>
      <c r="H184" s="29">
        <v>22000</v>
      </c>
      <c r="I184" s="29">
        <v>6000</v>
      </c>
      <c r="J184" s="29">
        <v>25000000</v>
      </c>
      <c r="K184" s="29">
        <v>650</v>
      </c>
      <c r="L184" s="29">
        <v>1096</v>
      </c>
      <c r="N184" s="34"/>
      <c r="O184" s="29">
        <f t="shared" si="32"/>
        <v>873</v>
      </c>
      <c r="P184" s="32" cm="1">
        <f t="array" ref="P184">WPNFACTOR(C184)</f>
        <v>2</v>
      </c>
      <c r="Q184" s="34" cm="1">
        <f t="array" ref="Q184">HPFACTOr(C184)</f>
        <v>5</v>
      </c>
      <c r="R184" s="33">
        <f t="shared" si="33"/>
        <v>436.5</v>
      </c>
      <c r="S184" s="34">
        <f t="shared" si="34"/>
        <v>5000000</v>
      </c>
      <c r="T184" s="33">
        <f t="shared" si="35"/>
        <v>436.5</v>
      </c>
      <c r="U184" s="42">
        <f t="shared" si="36"/>
        <v>5000000</v>
      </c>
      <c r="V184" s="44"/>
      <c r="W184" s="29">
        <f t="shared" si="38"/>
        <v>2182500000</v>
      </c>
      <c r="X184" s="41">
        <f t="shared" si="37"/>
        <v>31.023334507840975</v>
      </c>
      <c r="Y184" s="33">
        <f t="shared" si="39"/>
        <v>216.14170006547161</v>
      </c>
      <c r="Z184" s="33">
        <v>1.33</v>
      </c>
      <c r="AA184" s="29">
        <f t="shared" si="40"/>
        <v>287.46846108707723</v>
      </c>
      <c r="AB184" s="48">
        <f t="shared" si="41"/>
        <v>1297.1337244495887</v>
      </c>
      <c r="AC184" s="29">
        <v>281</v>
      </c>
      <c r="AD184" s="47">
        <f t="shared" si="42"/>
        <v>0.2166314811676309</v>
      </c>
    </row>
    <row r="185" spans="1:30" x14ac:dyDescent="0.2">
      <c r="A185" s="30" t="s">
        <v>8858</v>
      </c>
      <c r="B185" s="29">
        <v>4</v>
      </c>
      <c r="C185" s="29">
        <v>3</v>
      </c>
      <c r="D185" s="29">
        <v>440</v>
      </c>
      <c r="E185" s="29">
        <v>12000</v>
      </c>
      <c r="F185" s="29">
        <v>35000</v>
      </c>
      <c r="G185" s="29">
        <v>12000</v>
      </c>
      <c r="H185" s="29">
        <v>24000</v>
      </c>
      <c r="I185" s="29">
        <v>7500</v>
      </c>
      <c r="J185" s="29">
        <v>35000000</v>
      </c>
      <c r="K185" s="29">
        <v>850</v>
      </c>
      <c r="L185" s="29">
        <v>1396</v>
      </c>
      <c r="N185" s="34"/>
      <c r="O185" s="29">
        <f t="shared" si="32"/>
        <v>1123</v>
      </c>
      <c r="P185" s="32" cm="1">
        <f t="array" ref="P185">WPNFACTOR(C185)</f>
        <v>2.5</v>
      </c>
      <c r="Q185" s="34" cm="1">
        <f t="array" ref="Q185">HPFACTOr(C185)</f>
        <v>4</v>
      </c>
      <c r="R185" s="33">
        <f t="shared" si="33"/>
        <v>449.2</v>
      </c>
      <c r="S185" s="34">
        <f t="shared" si="34"/>
        <v>8750000</v>
      </c>
      <c r="T185" s="33">
        <f t="shared" si="35"/>
        <v>449.2</v>
      </c>
      <c r="U185" s="42">
        <f t="shared" si="36"/>
        <v>8750000</v>
      </c>
      <c r="V185" s="44"/>
      <c r="W185" s="29">
        <f t="shared" si="38"/>
        <v>3930500000</v>
      </c>
      <c r="X185" s="41">
        <f t="shared" si="37"/>
        <v>31.872065703782379</v>
      </c>
      <c r="Y185" s="33">
        <f t="shared" si="39"/>
        <v>250.38709999312402</v>
      </c>
      <c r="Z185" s="33">
        <v>1.33</v>
      </c>
      <c r="AA185" s="29">
        <f t="shared" si="40"/>
        <v>333.01484299085496</v>
      </c>
      <c r="AB185" s="48">
        <f t="shared" si="41"/>
        <v>1578.1535873656844</v>
      </c>
      <c r="AD185" s="47">
        <f t="shared" si="42"/>
        <v>0</v>
      </c>
    </row>
    <row r="186" spans="1:30" x14ac:dyDescent="0.2">
      <c r="A186" s="30" t="s">
        <v>8858</v>
      </c>
      <c r="B186" s="29">
        <v>5</v>
      </c>
      <c r="C186" s="29">
        <v>1</v>
      </c>
      <c r="D186" s="29">
        <v>450</v>
      </c>
      <c r="E186" s="29">
        <v>42000</v>
      </c>
      <c r="F186" s="29">
        <v>15000</v>
      </c>
      <c r="G186" s="29">
        <v>15000</v>
      </c>
      <c r="H186" s="29">
        <v>26000</v>
      </c>
      <c r="I186" s="29">
        <v>9000</v>
      </c>
      <c r="J186" s="29">
        <v>10000000</v>
      </c>
      <c r="K186" s="29">
        <v>703</v>
      </c>
      <c r="L186" s="29">
        <v>1136</v>
      </c>
      <c r="N186" s="34"/>
      <c r="O186" s="29">
        <f t="shared" si="32"/>
        <v>919.5</v>
      </c>
      <c r="P186" s="32" cm="1">
        <f t="array" ref="P186">WPNFACTOR(C186)</f>
        <v>2</v>
      </c>
      <c r="Q186" s="34" cm="1">
        <f t="array" ref="Q186">HPFACTOr(C186)</f>
        <v>5</v>
      </c>
      <c r="R186" s="33">
        <f t="shared" si="33"/>
        <v>459.75</v>
      </c>
      <c r="S186" s="34">
        <f t="shared" si="34"/>
        <v>2000000</v>
      </c>
      <c r="T186" s="33">
        <f t="shared" si="35"/>
        <v>459.75</v>
      </c>
      <c r="U186" s="42">
        <f t="shared" si="36"/>
        <v>2000000</v>
      </c>
      <c r="V186" s="44"/>
      <c r="W186" s="29">
        <f t="shared" si="38"/>
        <v>919500000</v>
      </c>
      <c r="X186" s="41">
        <f t="shared" si="37"/>
        <v>29.776274333736115</v>
      </c>
      <c r="Y186" s="33">
        <f t="shared" si="39"/>
        <v>174.13574704842381</v>
      </c>
      <c r="Z186" s="33">
        <v>1.33</v>
      </c>
      <c r="AA186" s="29">
        <f t="shared" si="40"/>
        <v>231.60054357440367</v>
      </c>
      <c r="AB186" s="48">
        <f t="shared" si="41"/>
        <v>972.41260066214193</v>
      </c>
      <c r="AD186" s="47">
        <f t="shared" si="42"/>
        <v>0</v>
      </c>
    </row>
    <row r="187" spans="1:30" x14ac:dyDescent="0.2">
      <c r="A187" s="30" t="s">
        <v>8858</v>
      </c>
      <c r="B187" s="29">
        <v>6</v>
      </c>
      <c r="C187" s="29">
        <v>2</v>
      </c>
      <c r="D187" s="29">
        <v>460</v>
      </c>
      <c r="E187" s="29">
        <v>18000</v>
      </c>
      <c r="F187" s="29">
        <v>18000</v>
      </c>
      <c r="G187" s="29">
        <v>50000</v>
      </c>
      <c r="H187" s="29">
        <v>29000</v>
      </c>
      <c r="I187" s="29">
        <v>11000</v>
      </c>
      <c r="J187" s="29">
        <v>25000000</v>
      </c>
      <c r="K187" s="29">
        <v>1551</v>
      </c>
      <c r="L187" s="29">
        <v>2599</v>
      </c>
      <c r="N187" s="34"/>
      <c r="O187" s="29">
        <f t="shared" si="32"/>
        <v>2075</v>
      </c>
      <c r="P187" s="32" cm="1">
        <f t="array" ref="P187">WPNFACTOR(C187)</f>
        <v>4.5</v>
      </c>
      <c r="Q187" s="34" cm="1">
        <f t="array" ref="Q187">HPFACTOr(C187)</f>
        <v>2</v>
      </c>
      <c r="R187" s="33">
        <f t="shared" si="33"/>
        <v>461.11111111111109</v>
      </c>
      <c r="S187" s="34">
        <f t="shared" si="34"/>
        <v>12500000</v>
      </c>
      <c r="T187" s="33">
        <f t="shared" si="35"/>
        <v>461.11111111111109</v>
      </c>
      <c r="U187" s="42">
        <f t="shared" si="36"/>
        <v>12500000</v>
      </c>
      <c r="V187" s="44"/>
      <c r="W187" s="29">
        <f t="shared" si="38"/>
        <v>5763888888.8888884</v>
      </c>
      <c r="X187" s="41">
        <f t="shared" si="37"/>
        <v>32.424395378778236</v>
      </c>
      <c r="Y187" s="33">
        <f t="shared" si="39"/>
        <v>275.5363493737305</v>
      </c>
      <c r="Z187" s="33">
        <v>1.33</v>
      </c>
      <c r="AA187" s="29">
        <f t="shared" si="40"/>
        <v>366.46334466706156</v>
      </c>
      <c r="AB187" s="48">
        <f t="shared" si="41"/>
        <v>1792.9652265041234</v>
      </c>
      <c r="AD187" s="47">
        <f t="shared" si="42"/>
        <v>0</v>
      </c>
    </row>
    <row r="188" spans="1:30" x14ac:dyDescent="0.2">
      <c r="A188" s="30" t="s">
        <v>8858</v>
      </c>
      <c r="B188" s="29">
        <v>7</v>
      </c>
      <c r="C188" s="29">
        <v>3</v>
      </c>
      <c r="D188" s="29">
        <v>470</v>
      </c>
      <c r="E188" s="29">
        <v>21000</v>
      </c>
      <c r="F188" s="29">
        <v>60000</v>
      </c>
      <c r="G188" s="29">
        <v>21000</v>
      </c>
      <c r="H188" s="29">
        <v>32000</v>
      </c>
      <c r="I188" s="29">
        <v>13000</v>
      </c>
      <c r="J188" s="29">
        <v>35000000</v>
      </c>
      <c r="K188" s="29">
        <v>902</v>
      </c>
      <c r="L188" s="29">
        <v>1449</v>
      </c>
      <c r="N188" s="34"/>
      <c r="O188" s="29">
        <f t="shared" si="32"/>
        <v>1175.5</v>
      </c>
      <c r="P188" s="32" cm="1">
        <f t="array" ref="P188">WPNFACTOR(C188)</f>
        <v>2.5</v>
      </c>
      <c r="Q188" s="34" cm="1">
        <f t="array" ref="Q188">HPFACTOr(C188)</f>
        <v>4</v>
      </c>
      <c r="R188" s="33">
        <f t="shared" si="33"/>
        <v>470.2</v>
      </c>
      <c r="S188" s="34">
        <f t="shared" si="34"/>
        <v>8750000</v>
      </c>
      <c r="T188" s="33">
        <f t="shared" si="35"/>
        <v>470.2</v>
      </c>
      <c r="U188" s="42">
        <f t="shared" si="36"/>
        <v>8750000</v>
      </c>
      <c r="V188" s="44"/>
      <c r="W188" s="29">
        <f t="shared" si="38"/>
        <v>4114250000</v>
      </c>
      <c r="X188" s="41">
        <f t="shared" si="37"/>
        <v>31.937982315034802</v>
      </c>
      <c r="Y188" s="33">
        <f t="shared" si="39"/>
        <v>253.26353796243686</v>
      </c>
      <c r="Z188" s="33">
        <v>1.33</v>
      </c>
      <c r="AA188" s="29">
        <f t="shared" si="40"/>
        <v>336.84050549004104</v>
      </c>
      <c r="AB188" s="48">
        <f t="shared" si="41"/>
        <v>1602.3727815362454</v>
      </c>
      <c r="AD188" s="47">
        <f t="shared" si="42"/>
        <v>0</v>
      </c>
    </row>
    <row r="189" spans="1:30" x14ac:dyDescent="0.2">
      <c r="A189" s="30" t="s">
        <v>8858</v>
      </c>
      <c r="B189" s="29">
        <v>8</v>
      </c>
      <c r="C189" s="29">
        <v>2</v>
      </c>
      <c r="D189" s="29">
        <v>480</v>
      </c>
      <c r="E189" s="29">
        <v>25000</v>
      </c>
      <c r="F189" s="29">
        <v>25000</v>
      </c>
      <c r="G189" s="29">
        <v>72000</v>
      </c>
      <c r="H189" s="29">
        <v>35000</v>
      </c>
      <c r="I189" s="29">
        <v>15000</v>
      </c>
      <c r="J189" s="29">
        <v>50000000</v>
      </c>
      <c r="K189" s="29">
        <v>1605</v>
      </c>
      <c r="L189" s="29">
        <v>2698</v>
      </c>
      <c r="N189" s="34"/>
      <c r="O189" s="29">
        <f t="shared" si="32"/>
        <v>2151.5</v>
      </c>
      <c r="P189" s="32" cm="1">
        <f t="array" ref="P189">WPNFACTOR(C189)</f>
        <v>4.5</v>
      </c>
      <c r="Q189" s="34" cm="1">
        <f t="array" ref="Q189">HPFACTOr(C189)</f>
        <v>2</v>
      </c>
      <c r="R189" s="33">
        <f t="shared" si="33"/>
        <v>478.11111111111109</v>
      </c>
      <c r="S189" s="34">
        <f t="shared" si="34"/>
        <v>25000000</v>
      </c>
      <c r="T189" s="33">
        <f t="shared" si="35"/>
        <v>478.11111111111109</v>
      </c>
      <c r="U189" s="42">
        <f t="shared" si="36"/>
        <v>25000000</v>
      </c>
      <c r="V189" s="44"/>
      <c r="W189" s="29">
        <f t="shared" si="38"/>
        <v>11952777777.777777</v>
      </c>
      <c r="X189" s="41">
        <f t="shared" si="37"/>
        <v>33.476626882604897</v>
      </c>
      <c r="Y189" s="33">
        <f t="shared" si="39"/>
        <v>330.64899828512222</v>
      </c>
      <c r="Z189" s="33">
        <v>1.33</v>
      </c>
      <c r="AA189" s="29">
        <f t="shared" si="40"/>
        <v>439.76316771921256</v>
      </c>
      <c r="AB189" s="48">
        <f t="shared" si="41"/>
        <v>2286.4214288570565</v>
      </c>
      <c r="AD189" s="47">
        <f t="shared" si="42"/>
        <v>0</v>
      </c>
    </row>
    <row r="190" spans="1:30" x14ac:dyDescent="0.2">
      <c r="A190" s="30" t="s">
        <v>8858</v>
      </c>
      <c r="B190" s="29">
        <v>9</v>
      </c>
      <c r="C190" s="29">
        <v>1</v>
      </c>
      <c r="D190" s="29">
        <v>490</v>
      </c>
      <c r="E190" s="29">
        <v>86000</v>
      </c>
      <c r="F190" s="29">
        <v>30000</v>
      </c>
      <c r="G190" s="29">
        <v>30000</v>
      </c>
      <c r="H190" s="29">
        <v>39000</v>
      </c>
      <c r="I190" s="29">
        <v>19000</v>
      </c>
      <c r="J190" s="29">
        <v>30000000</v>
      </c>
      <c r="K190" s="29">
        <v>750</v>
      </c>
      <c r="L190" s="29">
        <v>1244</v>
      </c>
      <c r="N190" s="34"/>
      <c r="O190" s="29">
        <f t="shared" si="32"/>
        <v>997</v>
      </c>
      <c r="P190" s="32" cm="1">
        <f t="array" ref="P190">WPNFACTOR(C190)</f>
        <v>2</v>
      </c>
      <c r="Q190" s="34" cm="1">
        <f t="array" ref="Q190">HPFACTOr(C190)</f>
        <v>5</v>
      </c>
      <c r="R190" s="33">
        <f t="shared" si="33"/>
        <v>498.5</v>
      </c>
      <c r="S190" s="34">
        <f t="shared" si="34"/>
        <v>6000000</v>
      </c>
      <c r="T190" s="33">
        <f t="shared" si="35"/>
        <v>498.5</v>
      </c>
      <c r="U190" s="42">
        <f t="shared" si="36"/>
        <v>6000000</v>
      </c>
      <c r="V190" s="44"/>
      <c r="W190" s="29">
        <f t="shared" si="38"/>
        <v>2991000000</v>
      </c>
      <c r="X190" s="41">
        <f t="shared" si="37"/>
        <v>31.477980764443526</v>
      </c>
      <c r="Y190" s="33">
        <f t="shared" si="39"/>
        <v>233.85900807003617</v>
      </c>
      <c r="Z190" s="33">
        <v>1.33</v>
      </c>
      <c r="AA190" s="29">
        <f t="shared" si="40"/>
        <v>311.03248073314813</v>
      </c>
      <c r="AB190" s="48">
        <f t="shared" si="41"/>
        <v>1440.8058760789627</v>
      </c>
      <c r="AD190" s="47">
        <f t="shared" si="42"/>
        <v>0</v>
      </c>
    </row>
    <row r="191" spans="1:30" x14ac:dyDescent="0.2">
      <c r="A191" s="30" t="s">
        <v>8858</v>
      </c>
      <c r="B191" s="29">
        <v>10</v>
      </c>
      <c r="C191" s="29">
        <v>2</v>
      </c>
      <c r="D191" s="29">
        <v>500</v>
      </c>
      <c r="E191" s="29">
        <v>35000</v>
      </c>
      <c r="F191" s="29">
        <v>35000</v>
      </c>
      <c r="G191" s="29">
        <v>90000</v>
      </c>
      <c r="H191" s="29">
        <v>43000</v>
      </c>
      <c r="I191" s="29">
        <v>21000</v>
      </c>
      <c r="J191" s="29">
        <v>50000000</v>
      </c>
      <c r="K191" s="29">
        <v>1701</v>
      </c>
      <c r="L191" s="29">
        <v>2798</v>
      </c>
      <c r="N191" s="34"/>
      <c r="O191" s="29">
        <f t="shared" si="32"/>
        <v>2249.5</v>
      </c>
      <c r="P191" s="32" cm="1">
        <f t="array" ref="P191">WPNFACTOR(C191)</f>
        <v>4.5</v>
      </c>
      <c r="Q191" s="34" cm="1">
        <f t="array" ref="Q191">HPFACTOr(C191)</f>
        <v>2</v>
      </c>
      <c r="R191" s="33">
        <f t="shared" si="33"/>
        <v>499.88888888888891</v>
      </c>
      <c r="S191" s="34">
        <f t="shared" si="34"/>
        <v>25000000</v>
      </c>
      <c r="T191" s="33">
        <f t="shared" si="35"/>
        <v>499.88888888888891</v>
      </c>
      <c r="U191" s="42">
        <f t="shared" si="36"/>
        <v>25000000</v>
      </c>
      <c r="V191" s="44"/>
      <c r="W191" s="29">
        <f t="shared" si="38"/>
        <v>12497222222.222223</v>
      </c>
      <c r="X191" s="41">
        <f t="shared" si="37"/>
        <v>33.540888409235635</v>
      </c>
      <c r="Y191" s="33">
        <f t="shared" si="39"/>
        <v>334.35157482041757</v>
      </c>
      <c r="Z191" s="33">
        <v>1.33</v>
      </c>
      <c r="AA191" s="29">
        <f t="shared" si="40"/>
        <v>444.6875945111554</v>
      </c>
      <c r="AB191" s="48">
        <f t="shared" si="41"/>
        <v>2320.6224933731487</v>
      </c>
      <c r="AD191" s="47">
        <f t="shared" si="42"/>
        <v>0</v>
      </c>
    </row>
    <row r="192" spans="1:30" x14ac:dyDescent="0.2">
      <c r="A192" s="30" t="s">
        <v>8859</v>
      </c>
      <c r="B192" s="29">
        <v>1</v>
      </c>
      <c r="C192" s="29">
        <v>3</v>
      </c>
      <c r="D192" s="29">
        <v>210</v>
      </c>
      <c r="E192" s="29">
        <v>3100</v>
      </c>
      <c r="F192" s="29">
        <v>6200</v>
      </c>
      <c r="G192" s="29">
        <v>3100</v>
      </c>
      <c r="H192" s="29">
        <v>10500</v>
      </c>
      <c r="I192" s="29">
        <v>3100</v>
      </c>
      <c r="J192" s="29">
        <v>16000000</v>
      </c>
      <c r="K192" s="29">
        <v>559</v>
      </c>
      <c r="L192" s="29">
        <v>787</v>
      </c>
      <c r="M192" s="29">
        <v>25</v>
      </c>
      <c r="N192" s="34">
        <v>25</v>
      </c>
      <c r="O192" s="29">
        <f t="shared" si="32"/>
        <v>673</v>
      </c>
      <c r="P192" s="32" cm="1">
        <f t="array" ref="P192">WPNFACTOR(C192)</f>
        <v>2.5</v>
      </c>
      <c r="Q192" s="34" cm="1">
        <f t="array" ref="Q192">HPFACTOr(C192)</f>
        <v>4</v>
      </c>
      <c r="R192" s="33">
        <f t="shared" si="33"/>
        <v>269.2</v>
      </c>
      <c r="S192" s="34">
        <f t="shared" si="34"/>
        <v>4000000</v>
      </c>
      <c r="T192" s="33">
        <f t="shared" si="35"/>
        <v>286.02499999999998</v>
      </c>
      <c r="U192" s="42">
        <f t="shared" si="36"/>
        <v>4413793.1034482764</v>
      </c>
      <c r="V192" s="44"/>
      <c r="W192" s="29">
        <f t="shared" si="38"/>
        <v>1262455172.4137931</v>
      </c>
      <c r="X192" s="41">
        <f t="shared" si="37"/>
        <v>30.233585015169897</v>
      </c>
      <c r="Y192" s="33">
        <f t="shared" si="39"/>
        <v>188.49680419489414</v>
      </c>
      <c r="Z192" s="33">
        <v>1.33</v>
      </c>
      <c r="AA192" s="29">
        <f t="shared" si="40"/>
        <v>250.70074957920923</v>
      </c>
      <c r="AB192" s="48">
        <f t="shared" si="41"/>
        <v>1080.7833743783449</v>
      </c>
      <c r="AC192" s="29">
        <v>225</v>
      </c>
      <c r="AD192" s="47">
        <f t="shared" si="42"/>
        <v>0.2081823289791237</v>
      </c>
    </row>
    <row r="193" spans="1:30" x14ac:dyDescent="0.2">
      <c r="A193" s="30" t="s">
        <v>8859</v>
      </c>
      <c r="B193" s="29">
        <v>2</v>
      </c>
      <c r="C193" s="29">
        <v>1</v>
      </c>
      <c r="D193" s="29">
        <v>213</v>
      </c>
      <c r="E193" s="29">
        <v>6560</v>
      </c>
      <c r="F193" s="29">
        <v>3280</v>
      </c>
      <c r="G193" s="29">
        <v>3280</v>
      </c>
      <c r="H193" s="29">
        <v>12000</v>
      </c>
      <c r="I193" s="29">
        <v>3280</v>
      </c>
      <c r="J193" s="29">
        <v>20500000</v>
      </c>
      <c r="K193" s="29">
        <v>561</v>
      </c>
      <c r="L193" s="29">
        <v>772</v>
      </c>
      <c r="M193" s="29">
        <v>25</v>
      </c>
      <c r="N193" s="34">
        <v>25</v>
      </c>
      <c r="O193" s="29">
        <f t="shared" si="32"/>
        <v>666.5</v>
      </c>
      <c r="P193" s="32" cm="1">
        <f t="array" ref="P193">WPNFACTOR(C193)</f>
        <v>2</v>
      </c>
      <c r="Q193" s="34" cm="1">
        <f t="array" ref="Q193">HPFACTOr(C193)</f>
        <v>5</v>
      </c>
      <c r="R193" s="33">
        <f t="shared" si="33"/>
        <v>333.25</v>
      </c>
      <c r="S193" s="34">
        <f t="shared" si="34"/>
        <v>4100000</v>
      </c>
      <c r="T193" s="33">
        <f t="shared" si="35"/>
        <v>354.078125</v>
      </c>
      <c r="U193" s="42">
        <f t="shared" si="36"/>
        <v>4524137.931034483</v>
      </c>
      <c r="V193" s="44"/>
      <c r="W193" s="29">
        <f t="shared" si="38"/>
        <v>1601898275.8620691</v>
      </c>
      <c r="X193" s="41">
        <f t="shared" si="37"/>
        <v>30.577135390266633</v>
      </c>
      <c r="Y193" s="33">
        <f t="shared" si="39"/>
        <v>200.05929474647519</v>
      </c>
      <c r="Z193" s="33">
        <v>1.33</v>
      </c>
      <c r="AA193" s="29">
        <f t="shared" si="40"/>
        <v>266.07886201281201</v>
      </c>
      <c r="AB193" s="48">
        <f t="shared" si="41"/>
        <v>1170.0694618370387</v>
      </c>
      <c r="AC193" s="29">
        <v>229</v>
      </c>
      <c r="AD193" s="47">
        <f t="shared" si="42"/>
        <v>0.19571487631209877</v>
      </c>
    </row>
    <row r="194" spans="1:30" x14ac:dyDescent="0.2">
      <c r="A194" s="30" t="s">
        <v>8859</v>
      </c>
      <c r="B194" s="29">
        <v>3</v>
      </c>
      <c r="C194" s="29">
        <v>2</v>
      </c>
      <c r="D194" s="29">
        <v>216</v>
      </c>
      <c r="E194" s="29">
        <v>3460</v>
      </c>
      <c r="F194" s="29">
        <v>3460</v>
      </c>
      <c r="G194" s="29">
        <v>6920</v>
      </c>
      <c r="H194" s="29">
        <v>13500</v>
      </c>
      <c r="I194" s="29">
        <v>3460</v>
      </c>
      <c r="J194" s="29">
        <v>25000000</v>
      </c>
      <c r="K194" s="29">
        <v>567</v>
      </c>
      <c r="L194" s="29">
        <v>787</v>
      </c>
      <c r="M194" s="29">
        <v>25</v>
      </c>
      <c r="N194" s="34">
        <v>25</v>
      </c>
      <c r="O194" s="29">
        <f t="shared" si="32"/>
        <v>677</v>
      </c>
      <c r="P194" s="32" cm="1">
        <f t="array" ref="P194">WPNFACTOR(C194)</f>
        <v>4.5</v>
      </c>
      <c r="Q194" s="34" cm="1">
        <f t="array" ref="Q194">HPFACTOr(C194)</f>
        <v>2</v>
      </c>
      <c r="R194" s="33">
        <f t="shared" si="33"/>
        <v>150.44444444444446</v>
      </c>
      <c r="S194" s="34">
        <f t="shared" si="34"/>
        <v>12500000</v>
      </c>
      <c r="T194" s="33">
        <f t="shared" si="35"/>
        <v>159.84722222222223</v>
      </c>
      <c r="U194" s="42">
        <f t="shared" si="36"/>
        <v>13793103.448275862</v>
      </c>
      <c r="V194" s="44"/>
      <c r="W194" s="29">
        <f t="shared" si="38"/>
        <v>2204789272.0306516</v>
      </c>
      <c r="X194" s="41">
        <f t="shared" si="37"/>
        <v>31.03799362735435</v>
      </c>
      <c r="Y194" s="33">
        <f t="shared" si="39"/>
        <v>216.6914480419799</v>
      </c>
      <c r="Z194" s="33">
        <v>1.33</v>
      </c>
      <c r="AA194" s="29">
        <f t="shared" si="40"/>
        <v>288.19962589583326</v>
      </c>
      <c r="AB194" s="48">
        <f t="shared" si="41"/>
        <v>1301.5345334762285</v>
      </c>
      <c r="AC194" s="29">
        <v>230</v>
      </c>
      <c r="AD194" s="47">
        <f t="shared" si="42"/>
        <v>0.17671448131744924</v>
      </c>
    </row>
    <row r="195" spans="1:30" x14ac:dyDescent="0.2">
      <c r="A195" s="30" t="s">
        <v>8859</v>
      </c>
      <c r="B195" s="29">
        <v>4</v>
      </c>
      <c r="C195" s="29">
        <v>3</v>
      </c>
      <c r="D195" s="29">
        <v>219</v>
      </c>
      <c r="E195" s="29">
        <v>3640</v>
      </c>
      <c r="F195" s="29">
        <v>7280</v>
      </c>
      <c r="G195" s="29">
        <v>3640</v>
      </c>
      <c r="H195" s="29">
        <v>15000</v>
      </c>
      <c r="I195" s="29">
        <v>3640</v>
      </c>
      <c r="J195" s="29">
        <v>29500000</v>
      </c>
      <c r="K195" s="29">
        <v>582</v>
      </c>
      <c r="L195" s="29">
        <v>819</v>
      </c>
      <c r="M195" s="29">
        <v>25</v>
      </c>
      <c r="N195" s="34">
        <v>25</v>
      </c>
      <c r="O195" s="29">
        <f t="shared" ref="O195:O258" si="43">AVERAGE(K195, L195)</f>
        <v>700.5</v>
      </c>
      <c r="P195" s="32" cm="1">
        <f t="array" ref="P195">WPNFACTOR(C195)</f>
        <v>2.5</v>
      </c>
      <c r="Q195" s="34" cm="1">
        <f t="array" ref="Q195">HPFACTOr(C195)</f>
        <v>4</v>
      </c>
      <c r="R195" s="33">
        <f t="shared" ref="R195:R258" si="44">O195/P195</f>
        <v>280.2</v>
      </c>
      <c r="S195" s="34">
        <f t="shared" ref="S195:S258" si="45">J195/Q195</f>
        <v>7375000</v>
      </c>
      <c r="T195" s="33">
        <f t="shared" ref="T195:T258" si="46">R195*(1 + (N195/400))</f>
        <v>297.71249999999998</v>
      </c>
      <c r="U195" s="42">
        <f t="shared" ref="U195:U258" si="47">S195*1.6/(1 + (0.6*(1 - (M195/100))))</f>
        <v>8137931.0344827585</v>
      </c>
      <c r="V195" s="44"/>
      <c r="W195" s="29">
        <f t="shared" si="38"/>
        <v>2422763793.1034479</v>
      </c>
      <c r="X195" s="41">
        <f t="shared" ref="X195:X258" si="48">LOG(W195, 2)</f>
        <v>31.17400661035224</v>
      </c>
      <c r="Y195" s="33">
        <f t="shared" si="39"/>
        <v>221.85936656180124</v>
      </c>
      <c r="Z195" s="33">
        <v>1.33</v>
      </c>
      <c r="AA195" s="29">
        <f t="shared" si="40"/>
        <v>295.07295752719568</v>
      </c>
      <c r="AB195" s="48">
        <f t="shared" si="41"/>
        <v>1343.0855962151352</v>
      </c>
      <c r="AC195" s="29">
        <v>243</v>
      </c>
      <c r="AD195" s="47">
        <f t="shared" si="42"/>
        <v>0.18092666668809715</v>
      </c>
    </row>
    <row r="196" spans="1:30" x14ac:dyDescent="0.2">
      <c r="A196" s="30" t="s">
        <v>8859</v>
      </c>
      <c r="B196" s="29">
        <v>5</v>
      </c>
      <c r="C196" s="29">
        <v>3</v>
      </c>
      <c r="D196" s="29">
        <v>222</v>
      </c>
      <c r="E196" s="29">
        <v>3820</v>
      </c>
      <c r="F196" s="29">
        <v>7640</v>
      </c>
      <c r="G196" s="29">
        <v>3820</v>
      </c>
      <c r="H196" s="29">
        <v>16500</v>
      </c>
      <c r="I196" s="29">
        <v>3820</v>
      </c>
      <c r="J196" s="29">
        <v>34000000</v>
      </c>
      <c r="K196" s="29">
        <v>598</v>
      </c>
      <c r="L196" s="29">
        <v>837</v>
      </c>
      <c r="M196" s="29">
        <v>25</v>
      </c>
      <c r="N196" s="34">
        <v>25</v>
      </c>
      <c r="O196" s="29">
        <f t="shared" si="43"/>
        <v>717.5</v>
      </c>
      <c r="P196" s="32" cm="1">
        <f t="array" ref="P196">WPNFACTOR(C196)</f>
        <v>2.5</v>
      </c>
      <c r="Q196" s="34" cm="1">
        <f t="array" ref="Q196">HPFACTOr(C196)</f>
        <v>4</v>
      </c>
      <c r="R196" s="33">
        <f t="shared" si="44"/>
        <v>287</v>
      </c>
      <c r="S196" s="34">
        <f t="shared" si="45"/>
        <v>8500000</v>
      </c>
      <c r="T196" s="33">
        <f t="shared" si="46"/>
        <v>304.9375</v>
      </c>
      <c r="U196" s="42">
        <f t="shared" si="47"/>
        <v>9379310.3448275868</v>
      </c>
      <c r="V196" s="44"/>
      <c r="W196" s="29">
        <f t="shared" ref="W196:W259" si="49">T196*U196</f>
        <v>2860103448.2758622</v>
      </c>
      <c r="X196" s="41">
        <f t="shared" si="48"/>
        <v>31.41342018337297</v>
      </c>
      <c r="Y196" s="33">
        <f t="shared" ref="Y196:Y259" si="50">POWER(W196, 1/4)</f>
        <v>231.25729179050623</v>
      </c>
      <c r="Z196" s="33">
        <v>1.33</v>
      </c>
      <c r="AA196" s="29">
        <f t="shared" ref="AA196:AA259" si="51">Y196*Z196</f>
        <v>307.5721980813733</v>
      </c>
      <c r="AB196" s="48">
        <f t="shared" ref="AB196:AB259" si="52">POWER(W196, 1/$AB$1)</f>
        <v>1419.4733629116761</v>
      </c>
      <c r="AC196" s="29">
        <v>246</v>
      </c>
      <c r="AD196" s="47">
        <f t="shared" ref="AD196:AD259" si="53">IF(AC196 = "", ,AC196/AB196)</f>
        <v>0.17330370997268715</v>
      </c>
    </row>
    <row r="197" spans="1:30" x14ac:dyDescent="0.2">
      <c r="A197" s="30" t="s">
        <v>8859</v>
      </c>
      <c r="B197" s="29">
        <v>6</v>
      </c>
      <c r="C197" s="29">
        <v>3</v>
      </c>
      <c r="D197" s="29">
        <v>225</v>
      </c>
      <c r="E197" s="29">
        <v>4000</v>
      </c>
      <c r="F197" s="29">
        <v>8000</v>
      </c>
      <c r="G197" s="29">
        <v>4000</v>
      </c>
      <c r="H197" s="29">
        <v>18000</v>
      </c>
      <c r="I197" s="29">
        <v>4000</v>
      </c>
      <c r="J197" s="29">
        <v>38500000</v>
      </c>
      <c r="K197" s="29">
        <v>601</v>
      </c>
      <c r="L197" s="29">
        <v>850</v>
      </c>
      <c r="M197" s="29">
        <v>25</v>
      </c>
      <c r="N197" s="34">
        <v>25</v>
      </c>
      <c r="O197" s="29">
        <f t="shared" si="43"/>
        <v>725.5</v>
      </c>
      <c r="P197" s="32" cm="1">
        <f t="array" ref="P197">WPNFACTOR(C197)</f>
        <v>2.5</v>
      </c>
      <c r="Q197" s="34" cm="1">
        <f t="array" ref="Q197">HPFACTOr(C197)</f>
        <v>4</v>
      </c>
      <c r="R197" s="33">
        <f t="shared" si="44"/>
        <v>290.2</v>
      </c>
      <c r="S197" s="34">
        <f t="shared" si="45"/>
        <v>9625000</v>
      </c>
      <c r="T197" s="33">
        <f t="shared" si="46"/>
        <v>308.33749999999998</v>
      </c>
      <c r="U197" s="42">
        <f t="shared" si="47"/>
        <v>10620689.655172413</v>
      </c>
      <c r="V197" s="44"/>
      <c r="W197" s="29">
        <f t="shared" si="49"/>
        <v>3274756896.5517235</v>
      </c>
      <c r="X197" s="41">
        <f t="shared" si="48"/>
        <v>31.608740665321225</v>
      </c>
      <c r="Y197" s="33">
        <f t="shared" si="50"/>
        <v>239.21850193325506</v>
      </c>
      <c r="Z197" s="33">
        <v>1.33</v>
      </c>
      <c r="AA197" s="29">
        <f t="shared" si="51"/>
        <v>318.16060757122926</v>
      </c>
      <c r="AB197" s="48">
        <f t="shared" si="52"/>
        <v>1484.9996631562474</v>
      </c>
      <c r="AC197" s="29">
        <v>252</v>
      </c>
      <c r="AD197" s="47">
        <f t="shared" si="53"/>
        <v>0.1696970081894795</v>
      </c>
    </row>
    <row r="198" spans="1:30" x14ac:dyDescent="0.2">
      <c r="A198" s="30" t="s">
        <v>8859</v>
      </c>
      <c r="B198" s="29">
        <v>7</v>
      </c>
      <c r="C198" s="29">
        <v>1</v>
      </c>
      <c r="D198" s="29">
        <v>228</v>
      </c>
      <c r="E198" s="29">
        <v>8360</v>
      </c>
      <c r="F198" s="29">
        <v>4180</v>
      </c>
      <c r="G198" s="29">
        <v>4180</v>
      </c>
      <c r="H198" s="29">
        <v>19500</v>
      </c>
      <c r="I198" s="29">
        <v>4180</v>
      </c>
      <c r="J198" s="29">
        <v>43000000</v>
      </c>
      <c r="K198" s="29">
        <v>614</v>
      </c>
      <c r="L198" s="29">
        <v>862</v>
      </c>
      <c r="M198" s="29">
        <v>25</v>
      </c>
      <c r="N198" s="34">
        <v>25</v>
      </c>
      <c r="O198" s="29">
        <f t="shared" si="43"/>
        <v>738</v>
      </c>
      <c r="P198" s="32" cm="1">
        <f t="array" ref="P198">WPNFACTOR(C198)</f>
        <v>2</v>
      </c>
      <c r="Q198" s="34" cm="1">
        <f t="array" ref="Q198">HPFACTOr(C198)</f>
        <v>5</v>
      </c>
      <c r="R198" s="33">
        <f t="shared" si="44"/>
        <v>369</v>
      </c>
      <c r="S198" s="34">
        <f t="shared" si="45"/>
        <v>8600000</v>
      </c>
      <c r="T198" s="33">
        <f t="shared" si="46"/>
        <v>392.0625</v>
      </c>
      <c r="U198" s="42">
        <f t="shared" si="47"/>
        <v>9489655.1724137943</v>
      </c>
      <c r="V198" s="44"/>
      <c r="W198" s="29">
        <f t="shared" si="49"/>
        <v>3720537931.0344834</v>
      </c>
      <c r="X198" s="41">
        <f t="shared" si="48"/>
        <v>31.792864081322076</v>
      </c>
      <c r="Y198" s="33">
        <f t="shared" si="50"/>
        <v>246.97411287800085</v>
      </c>
      <c r="Z198" s="33">
        <v>1.33</v>
      </c>
      <c r="AA198" s="29">
        <f t="shared" si="51"/>
        <v>328.47557012774115</v>
      </c>
      <c r="AB198" s="48">
        <f t="shared" si="52"/>
        <v>1549.5368621192072</v>
      </c>
      <c r="AC198" s="29">
        <v>255</v>
      </c>
      <c r="AD198" s="47">
        <f t="shared" si="53"/>
        <v>0.16456530091917401</v>
      </c>
    </row>
    <row r="199" spans="1:30" x14ac:dyDescent="0.2">
      <c r="A199" s="30" t="s">
        <v>8859</v>
      </c>
      <c r="B199" s="29">
        <v>8</v>
      </c>
      <c r="C199" s="29">
        <v>1</v>
      </c>
      <c r="D199" s="29">
        <v>231</v>
      </c>
      <c r="E199" s="29">
        <v>8720</v>
      </c>
      <c r="F199" s="29">
        <v>4360</v>
      </c>
      <c r="G199" s="29">
        <v>4360</v>
      </c>
      <c r="H199" s="29">
        <v>21000</v>
      </c>
      <c r="I199" s="29">
        <v>4360</v>
      </c>
      <c r="J199" s="29">
        <v>47500000</v>
      </c>
      <c r="K199" s="29">
        <v>626</v>
      </c>
      <c r="L199" s="29">
        <v>874</v>
      </c>
      <c r="M199" s="29">
        <v>25</v>
      </c>
      <c r="N199" s="34">
        <v>25</v>
      </c>
      <c r="O199" s="29">
        <f t="shared" si="43"/>
        <v>750</v>
      </c>
      <c r="P199" s="32" cm="1">
        <f t="array" ref="P199">WPNFACTOR(C199)</f>
        <v>2</v>
      </c>
      <c r="Q199" s="34" cm="1">
        <f t="array" ref="Q199">HPFACTOr(C199)</f>
        <v>5</v>
      </c>
      <c r="R199" s="33">
        <f t="shared" si="44"/>
        <v>375</v>
      </c>
      <c r="S199" s="34">
        <f t="shared" si="45"/>
        <v>9500000</v>
      </c>
      <c r="T199" s="33">
        <f t="shared" si="46"/>
        <v>398.4375</v>
      </c>
      <c r="U199" s="42">
        <f t="shared" si="47"/>
        <v>10482758.620689655</v>
      </c>
      <c r="V199" s="44"/>
      <c r="W199" s="29">
        <f t="shared" si="49"/>
        <v>4176724137.9310341</v>
      </c>
      <c r="X199" s="41">
        <f t="shared" si="48"/>
        <v>31.959724714273769</v>
      </c>
      <c r="Y199" s="33">
        <f t="shared" si="50"/>
        <v>254.21955141044273</v>
      </c>
      <c r="Z199" s="33">
        <v>1.33</v>
      </c>
      <c r="AA199" s="29">
        <f t="shared" si="51"/>
        <v>338.11200337588883</v>
      </c>
      <c r="AB199" s="48">
        <f t="shared" si="52"/>
        <v>1610.4426515762084</v>
      </c>
      <c r="AC199" s="29">
        <v>259</v>
      </c>
      <c r="AD199" s="47">
        <f t="shared" si="53"/>
        <v>0.16082534807837195</v>
      </c>
    </row>
    <row r="200" spans="1:30" x14ac:dyDescent="0.2">
      <c r="A200" s="30" t="s">
        <v>8859</v>
      </c>
      <c r="B200" s="29">
        <v>9</v>
      </c>
      <c r="C200" s="29">
        <v>3</v>
      </c>
      <c r="D200" s="29">
        <v>234</v>
      </c>
      <c r="E200" s="29">
        <v>4540</v>
      </c>
      <c r="F200" s="29">
        <v>9080</v>
      </c>
      <c r="G200" s="29">
        <v>4540</v>
      </c>
      <c r="H200" s="29">
        <v>22500</v>
      </c>
      <c r="I200" s="29">
        <v>4540</v>
      </c>
      <c r="J200" s="29">
        <v>52000000</v>
      </c>
      <c r="K200" s="29">
        <v>637</v>
      </c>
      <c r="L200" s="29">
        <v>885</v>
      </c>
      <c r="M200" s="29">
        <v>25</v>
      </c>
      <c r="N200" s="34">
        <v>25</v>
      </c>
      <c r="O200" s="29">
        <f t="shared" si="43"/>
        <v>761</v>
      </c>
      <c r="P200" s="32" cm="1">
        <f t="array" ref="P200">WPNFACTOR(C200)</f>
        <v>2.5</v>
      </c>
      <c r="Q200" s="34" cm="1">
        <f t="array" ref="Q200">HPFACTOr(C200)</f>
        <v>4</v>
      </c>
      <c r="R200" s="33">
        <f t="shared" si="44"/>
        <v>304.39999999999998</v>
      </c>
      <c r="S200" s="34">
        <f t="shared" si="45"/>
        <v>13000000</v>
      </c>
      <c r="T200" s="33">
        <f t="shared" si="46"/>
        <v>323.42499999999995</v>
      </c>
      <c r="U200" s="42">
        <f t="shared" si="47"/>
        <v>14344827.586206896</v>
      </c>
      <c r="V200" s="44"/>
      <c r="W200" s="29">
        <f t="shared" si="49"/>
        <v>4639475862.068965</v>
      </c>
      <c r="X200" s="41">
        <f t="shared" si="48"/>
        <v>32.111314682204217</v>
      </c>
      <c r="Y200" s="33">
        <f t="shared" si="50"/>
        <v>260.98601121547568</v>
      </c>
      <c r="Z200" s="33">
        <v>1.33</v>
      </c>
      <c r="AA200" s="29">
        <f t="shared" si="51"/>
        <v>347.1113949165827</v>
      </c>
      <c r="AB200" s="48">
        <f t="shared" si="52"/>
        <v>1667.8473779144354</v>
      </c>
      <c r="AC200" s="29">
        <v>265</v>
      </c>
      <c r="AD200" s="47">
        <f t="shared" si="53"/>
        <v>0.15888743988755735</v>
      </c>
    </row>
    <row r="201" spans="1:30" x14ac:dyDescent="0.2">
      <c r="A201" s="30" t="s">
        <v>8859</v>
      </c>
      <c r="B201" s="29">
        <v>10</v>
      </c>
      <c r="C201" s="29">
        <v>2</v>
      </c>
      <c r="D201" s="29">
        <v>240</v>
      </c>
      <c r="E201" s="29">
        <v>4900</v>
      </c>
      <c r="F201" s="29">
        <v>4900</v>
      </c>
      <c r="G201" s="29">
        <v>9800</v>
      </c>
      <c r="H201" s="29">
        <v>25500</v>
      </c>
      <c r="I201" s="29">
        <v>4900</v>
      </c>
      <c r="J201" s="29">
        <v>61000000</v>
      </c>
      <c r="K201" s="29">
        <v>663</v>
      </c>
      <c r="L201" s="29">
        <v>909</v>
      </c>
      <c r="M201" s="29">
        <v>25</v>
      </c>
      <c r="N201" s="34">
        <v>25</v>
      </c>
      <c r="O201" s="29">
        <f t="shared" si="43"/>
        <v>786</v>
      </c>
      <c r="P201" s="32" cm="1">
        <f t="array" ref="P201">WPNFACTOR(C201)</f>
        <v>4.5</v>
      </c>
      <c r="Q201" s="34" cm="1">
        <f t="array" ref="Q201">HPFACTOr(C201)</f>
        <v>2</v>
      </c>
      <c r="R201" s="33">
        <f t="shared" si="44"/>
        <v>174.66666666666666</v>
      </c>
      <c r="S201" s="34">
        <f t="shared" si="45"/>
        <v>30500000</v>
      </c>
      <c r="T201" s="33">
        <f t="shared" si="46"/>
        <v>185.58333333333331</v>
      </c>
      <c r="U201" s="42">
        <f t="shared" si="47"/>
        <v>33655172.413793102</v>
      </c>
      <c r="V201" s="44"/>
      <c r="W201" s="29">
        <f t="shared" si="49"/>
        <v>6245839080.4597692</v>
      </c>
      <c r="X201" s="41">
        <f t="shared" si="48"/>
        <v>32.540248253826128</v>
      </c>
      <c r="Y201" s="33">
        <f t="shared" si="50"/>
        <v>281.12385376732203</v>
      </c>
      <c r="Z201" s="33">
        <v>1.33</v>
      </c>
      <c r="AA201" s="29">
        <f t="shared" si="51"/>
        <v>373.89472551053831</v>
      </c>
      <c r="AB201" s="48">
        <f t="shared" si="52"/>
        <v>1841.606886342995</v>
      </c>
      <c r="AC201" s="29">
        <v>272</v>
      </c>
      <c r="AD201" s="47">
        <f t="shared" si="53"/>
        <v>0.14769710192609511</v>
      </c>
    </row>
    <row r="202" spans="1:30" x14ac:dyDescent="0.2">
      <c r="A202" s="30" t="s">
        <v>8860</v>
      </c>
      <c r="B202" s="29">
        <v>1</v>
      </c>
      <c r="C202" s="29">
        <v>2</v>
      </c>
      <c r="D202" s="29">
        <v>240</v>
      </c>
      <c r="E202" s="29">
        <v>4900</v>
      </c>
      <c r="F202" s="29">
        <v>4900</v>
      </c>
      <c r="G202" s="29">
        <v>9800</v>
      </c>
      <c r="H202" s="29">
        <v>25500</v>
      </c>
      <c r="I202" s="29">
        <v>4900</v>
      </c>
      <c r="J202" s="29">
        <v>61000000</v>
      </c>
      <c r="K202" s="29">
        <v>662</v>
      </c>
      <c r="L202" s="29">
        <v>908</v>
      </c>
      <c r="M202" s="29">
        <v>25</v>
      </c>
      <c r="N202" s="34">
        <v>25</v>
      </c>
      <c r="O202" s="29">
        <f t="shared" si="43"/>
        <v>785</v>
      </c>
      <c r="P202" s="32" cm="1">
        <f t="array" ref="P202">WPNFACTOR(C202)</f>
        <v>4.5</v>
      </c>
      <c r="Q202" s="34" cm="1">
        <f t="array" ref="Q202">HPFACTOr(C202)</f>
        <v>2</v>
      </c>
      <c r="R202" s="33">
        <f t="shared" si="44"/>
        <v>174.44444444444446</v>
      </c>
      <c r="S202" s="34">
        <f t="shared" si="45"/>
        <v>30500000</v>
      </c>
      <c r="T202" s="33">
        <f t="shared" si="46"/>
        <v>185.34722222222223</v>
      </c>
      <c r="U202" s="42">
        <f t="shared" si="47"/>
        <v>33655172.413793102</v>
      </c>
      <c r="V202" s="44"/>
      <c r="W202" s="29">
        <f t="shared" si="49"/>
        <v>6237892720.3065138</v>
      </c>
      <c r="X202" s="41">
        <f t="shared" si="48"/>
        <v>32.538411595346503</v>
      </c>
      <c r="Y202" s="33">
        <f t="shared" si="50"/>
        <v>281.03439509131323</v>
      </c>
      <c r="Z202" s="33">
        <v>1.33</v>
      </c>
      <c r="AA202" s="29">
        <f t="shared" si="51"/>
        <v>373.77574547144661</v>
      </c>
      <c r="AB202" s="48">
        <f t="shared" si="52"/>
        <v>1840.8255511256043</v>
      </c>
      <c r="AC202" s="29">
        <v>272</v>
      </c>
      <c r="AD202" s="47">
        <f t="shared" si="53"/>
        <v>0.14775979170523842</v>
      </c>
    </row>
    <row r="203" spans="1:30" x14ac:dyDescent="0.2">
      <c r="A203" s="30" t="s">
        <v>8860</v>
      </c>
      <c r="B203" s="29">
        <v>2</v>
      </c>
      <c r="C203" s="29">
        <v>1</v>
      </c>
      <c r="D203" s="29">
        <v>243</v>
      </c>
      <c r="E203" s="29">
        <v>10160</v>
      </c>
      <c r="F203" s="29">
        <v>5080</v>
      </c>
      <c r="G203" s="29">
        <v>5080</v>
      </c>
      <c r="H203" s="29">
        <v>27000</v>
      </c>
      <c r="I203" s="29">
        <v>5080</v>
      </c>
      <c r="J203" s="29">
        <v>65500000</v>
      </c>
      <c r="K203" s="29">
        <v>673</v>
      </c>
      <c r="L203" s="29">
        <v>922</v>
      </c>
      <c r="M203" s="29">
        <v>25</v>
      </c>
      <c r="N203" s="34">
        <v>25</v>
      </c>
      <c r="O203" s="29">
        <f t="shared" si="43"/>
        <v>797.5</v>
      </c>
      <c r="P203" s="32" cm="1">
        <f t="array" ref="P203">WPNFACTOR(C203)</f>
        <v>2</v>
      </c>
      <c r="Q203" s="34" cm="1">
        <f t="array" ref="Q203">HPFACTOr(C203)</f>
        <v>5</v>
      </c>
      <c r="R203" s="33">
        <f t="shared" si="44"/>
        <v>398.75</v>
      </c>
      <c r="S203" s="34">
        <f t="shared" si="45"/>
        <v>13100000</v>
      </c>
      <c r="T203" s="33">
        <f t="shared" si="46"/>
        <v>423.671875</v>
      </c>
      <c r="U203" s="42">
        <f t="shared" si="47"/>
        <v>14455172.413793104</v>
      </c>
      <c r="V203" s="44"/>
      <c r="W203" s="29">
        <f t="shared" si="49"/>
        <v>6124250000</v>
      </c>
      <c r="X203" s="41">
        <f t="shared" si="48"/>
        <v>32.51188603074926</v>
      </c>
      <c r="Y203" s="33">
        <f t="shared" si="50"/>
        <v>279.745576357456</v>
      </c>
      <c r="Z203" s="33">
        <v>1.33</v>
      </c>
      <c r="AA203" s="29">
        <f t="shared" si="51"/>
        <v>372.06161655541649</v>
      </c>
      <c r="AB203" s="48">
        <f t="shared" si="52"/>
        <v>1829.5781722547576</v>
      </c>
      <c r="AC203" s="29">
        <v>277</v>
      </c>
      <c r="AD203" s="47">
        <f t="shared" si="53"/>
        <v>0.15140101920795623</v>
      </c>
    </row>
    <row r="204" spans="1:30" x14ac:dyDescent="0.2">
      <c r="A204" s="30" t="s">
        <v>8860</v>
      </c>
      <c r="B204" s="29">
        <v>3</v>
      </c>
      <c r="C204" s="29">
        <v>1</v>
      </c>
      <c r="D204" s="29">
        <v>246</v>
      </c>
      <c r="E204" s="29">
        <v>10520</v>
      </c>
      <c r="F204" s="29">
        <v>5260</v>
      </c>
      <c r="G204" s="29">
        <v>5260</v>
      </c>
      <c r="H204" s="29">
        <v>28500</v>
      </c>
      <c r="I204" s="29">
        <v>5260</v>
      </c>
      <c r="J204" s="29">
        <v>70000000</v>
      </c>
      <c r="K204" s="29">
        <v>685</v>
      </c>
      <c r="L204" s="29">
        <v>933</v>
      </c>
      <c r="M204" s="29">
        <v>25</v>
      </c>
      <c r="N204" s="34">
        <v>25</v>
      </c>
      <c r="O204" s="29">
        <f t="shared" si="43"/>
        <v>809</v>
      </c>
      <c r="P204" s="32" cm="1">
        <f t="array" ref="P204">WPNFACTOR(C204)</f>
        <v>2</v>
      </c>
      <c r="Q204" s="34" cm="1">
        <f t="array" ref="Q204">HPFACTOr(C204)</f>
        <v>5</v>
      </c>
      <c r="R204" s="33">
        <f t="shared" si="44"/>
        <v>404.5</v>
      </c>
      <c r="S204" s="34">
        <f t="shared" si="45"/>
        <v>14000000</v>
      </c>
      <c r="T204" s="33">
        <f t="shared" si="46"/>
        <v>429.78125</v>
      </c>
      <c r="U204" s="42">
        <f t="shared" si="47"/>
        <v>15448275.862068966</v>
      </c>
      <c r="V204" s="44"/>
      <c r="W204" s="29">
        <f t="shared" si="49"/>
        <v>6639379310.3448277</v>
      </c>
      <c r="X204" s="41">
        <f t="shared" si="48"/>
        <v>32.628401229934525</v>
      </c>
      <c r="Y204" s="33">
        <f t="shared" si="50"/>
        <v>285.45119811228631</v>
      </c>
      <c r="Z204" s="33">
        <v>1.33</v>
      </c>
      <c r="AA204" s="29">
        <f t="shared" si="51"/>
        <v>379.6500934893408</v>
      </c>
      <c r="AB204" s="48">
        <f t="shared" si="52"/>
        <v>1879.5007077540924</v>
      </c>
      <c r="AC204" s="29">
        <v>281</v>
      </c>
      <c r="AD204" s="47">
        <f t="shared" si="53"/>
        <v>0.14950779153245475</v>
      </c>
    </row>
    <row r="205" spans="1:30" x14ac:dyDescent="0.2">
      <c r="A205" s="30" t="s">
        <v>8860</v>
      </c>
      <c r="B205" s="29">
        <v>4</v>
      </c>
      <c r="C205" s="29">
        <v>1</v>
      </c>
      <c r="D205" s="29">
        <v>249</v>
      </c>
      <c r="E205" s="29">
        <v>10880</v>
      </c>
      <c r="F205" s="29">
        <v>5440</v>
      </c>
      <c r="G205" s="29">
        <v>5440</v>
      </c>
      <c r="H205" s="29">
        <v>30000</v>
      </c>
      <c r="I205" s="29">
        <v>5440</v>
      </c>
      <c r="J205" s="29">
        <v>74500000</v>
      </c>
      <c r="K205" s="29">
        <v>697</v>
      </c>
      <c r="L205" s="29">
        <v>946</v>
      </c>
      <c r="M205" s="29">
        <v>25</v>
      </c>
      <c r="N205" s="34">
        <v>25</v>
      </c>
      <c r="O205" s="29">
        <f t="shared" si="43"/>
        <v>821.5</v>
      </c>
      <c r="P205" s="32" cm="1">
        <f t="array" ref="P205">WPNFACTOR(C205)</f>
        <v>2</v>
      </c>
      <c r="Q205" s="34" cm="1">
        <f t="array" ref="Q205">HPFACTOr(C205)</f>
        <v>5</v>
      </c>
      <c r="R205" s="33">
        <f t="shared" si="44"/>
        <v>410.75</v>
      </c>
      <c r="S205" s="34">
        <f t="shared" si="45"/>
        <v>14900000</v>
      </c>
      <c r="T205" s="33">
        <f t="shared" si="46"/>
        <v>436.421875</v>
      </c>
      <c r="U205" s="42">
        <f t="shared" si="47"/>
        <v>16441379.310344828</v>
      </c>
      <c r="V205" s="44"/>
      <c r="W205" s="29">
        <f t="shared" si="49"/>
        <v>7175377586.2068968</v>
      </c>
      <c r="X205" s="41">
        <f t="shared" si="48"/>
        <v>32.740407605971818</v>
      </c>
      <c r="Y205" s="33">
        <f t="shared" si="50"/>
        <v>291.04570177563483</v>
      </c>
      <c r="Z205" s="33">
        <v>1.33</v>
      </c>
      <c r="AA205" s="29">
        <f t="shared" si="51"/>
        <v>387.09078336159433</v>
      </c>
      <c r="AB205" s="48">
        <f t="shared" si="52"/>
        <v>1928.7750812620245</v>
      </c>
      <c r="AC205" s="29">
        <v>282</v>
      </c>
      <c r="AD205" s="47">
        <f t="shared" si="53"/>
        <v>0.14620678312345442</v>
      </c>
    </row>
    <row r="206" spans="1:30" x14ac:dyDescent="0.2">
      <c r="A206" s="30" t="s">
        <v>8860</v>
      </c>
      <c r="B206" s="29">
        <v>5</v>
      </c>
      <c r="C206" s="29">
        <v>3</v>
      </c>
      <c r="D206" s="29">
        <v>252</v>
      </c>
      <c r="E206" s="29">
        <v>5620</v>
      </c>
      <c r="F206" s="29">
        <v>11240</v>
      </c>
      <c r="G206" s="29">
        <v>5620</v>
      </c>
      <c r="H206" s="29">
        <v>31500</v>
      </c>
      <c r="I206" s="29">
        <v>5620</v>
      </c>
      <c r="J206" s="29">
        <v>79000000</v>
      </c>
      <c r="K206" s="29">
        <v>709</v>
      </c>
      <c r="L206" s="29">
        <v>958</v>
      </c>
      <c r="M206" s="29">
        <v>25</v>
      </c>
      <c r="N206" s="34">
        <v>25</v>
      </c>
      <c r="O206" s="29">
        <f t="shared" si="43"/>
        <v>833.5</v>
      </c>
      <c r="P206" s="32" cm="1">
        <f t="array" ref="P206">WPNFACTOR(C206)</f>
        <v>2.5</v>
      </c>
      <c r="Q206" s="34" cm="1">
        <f t="array" ref="Q206">HPFACTOr(C206)</f>
        <v>4</v>
      </c>
      <c r="R206" s="33">
        <f t="shared" si="44"/>
        <v>333.4</v>
      </c>
      <c r="S206" s="34">
        <f t="shared" si="45"/>
        <v>19750000</v>
      </c>
      <c r="T206" s="33">
        <f t="shared" si="46"/>
        <v>354.23749999999995</v>
      </c>
      <c r="U206" s="42">
        <f t="shared" si="47"/>
        <v>21793103.448275864</v>
      </c>
      <c r="V206" s="44"/>
      <c r="W206" s="29">
        <f t="shared" si="49"/>
        <v>7719934482.7586203</v>
      </c>
      <c r="X206" s="41">
        <f t="shared" si="48"/>
        <v>32.8459414577231</v>
      </c>
      <c r="Y206" s="33">
        <f t="shared" si="50"/>
        <v>296.41720211540007</v>
      </c>
      <c r="Z206" s="33">
        <v>1.33</v>
      </c>
      <c r="AA206" s="29">
        <f t="shared" si="51"/>
        <v>394.23487881348211</v>
      </c>
      <c r="AB206" s="48">
        <f t="shared" si="52"/>
        <v>1976.3834334518001</v>
      </c>
      <c r="AD206" s="47">
        <f t="shared" si="53"/>
        <v>0</v>
      </c>
    </row>
    <row r="207" spans="1:30" x14ac:dyDescent="0.2">
      <c r="A207" s="30" t="s">
        <v>8860</v>
      </c>
      <c r="B207" s="29">
        <v>6</v>
      </c>
      <c r="C207" s="29">
        <v>2</v>
      </c>
      <c r="D207" s="29">
        <v>255</v>
      </c>
      <c r="E207" s="29">
        <v>5800</v>
      </c>
      <c r="F207" s="29">
        <v>5800</v>
      </c>
      <c r="G207" s="29">
        <v>11600</v>
      </c>
      <c r="H207" s="29">
        <v>33000</v>
      </c>
      <c r="I207" s="29">
        <v>5800</v>
      </c>
      <c r="J207" s="29">
        <v>83500000</v>
      </c>
      <c r="K207" s="29">
        <v>721</v>
      </c>
      <c r="L207" s="29">
        <v>966</v>
      </c>
      <c r="M207" s="29">
        <v>25</v>
      </c>
      <c r="N207" s="34">
        <v>25</v>
      </c>
      <c r="O207" s="29">
        <f t="shared" si="43"/>
        <v>843.5</v>
      </c>
      <c r="P207" s="32" cm="1">
        <f t="array" ref="P207">WPNFACTOR(C207)</f>
        <v>4.5</v>
      </c>
      <c r="Q207" s="34" cm="1">
        <f t="array" ref="Q207">HPFACTOr(C207)</f>
        <v>2</v>
      </c>
      <c r="R207" s="33">
        <f t="shared" si="44"/>
        <v>187.44444444444446</v>
      </c>
      <c r="S207" s="34">
        <f t="shared" si="45"/>
        <v>41750000</v>
      </c>
      <c r="T207" s="33">
        <f t="shared" si="46"/>
        <v>199.15972222222223</v>
      </c>
      <c r="U207" s="42">
        <f t="shared" si="47"/>
        <v>46068965.517241381</v>
      </c>
      <c r="V207" s="44"/>
      <c r="W207" s="29">
        <f t="shared" si="49"/>
        <v>9175082375.4789276</v>
      </c>
      <c r="X207" s="41">
        <f t="shared" si="48"/>
        <v>33.095073964766243</v>
      </c>
      <c r="Y207" s="33">
        <f t="shared" si="50"/>
        <v>309.4941845962129</v>
      </c>
      <c r="Z207" s="33">
        <v>1.33</v>
      </c>
      <c r="AA207" s="29">
        <f t="shared" si="51"/>
        <v>411.62726551296316</v>
      </c>
      <c r="AB207" s="48">
        <f t="shared" si="52"/>
        <v>2093.4856614742876</v>
      </c>
      <c r="AD207" s="47">
        <f t="shared" si="53"/>
        <v>0</v>
      </c>
    </row>
    <row r="208" spans="1:30" x14ac:dyDescent="0.2">
      <c r="A208" s="30" t="s">
        <v>8860</v>
      </c>
      <c r="B208" s="29">
        <v>7</v>
      </c>
      <c r="C208" s="29">
        <v>3</v>
      </c>
      <c r="D208" s="29">
        <v>258</v>
      </c>
      <c r="E208" s="29">
        <v>5980</v>
      </c>
      <c r="F208" s="29">
        <v>11960</v>
      </c>
      <c r="G208" s="29">
        <v>5980</v>
      </c>
      <c r="H208" s="29">
        <v>34500</v>
      </c>
      <c r="I208" s="29">
        <v>5980</v>
      </c>
      <c r="J208" s="29">
        <v>88000000</v>
      </c>
      <c r="K208" s="29">
        <v>733</v>
      </c>
      <c r="L208" s="29">
        <v>982</v>
      </c>
      <c r="M208" s="29">
        <v>25</v>
      </c>
      <c r="N208" s="34">
        <v>25</v>
      </c>
      <c r="O208" s="29">
        <f t="shared" si="43"/>
        <v>857.5</v>
      </c>
      <c r="P208" s="32" cm="1">
        <f t="array" ref="P208">WPNFACTOR(C208)</f>
        <v>2.5</v>
      </c>
      <c r="Q208" s="34" cm="1">
        <f t="array" ref="Q208">HPFACTOr(C208)</f>
        <v>4</v>
      </c>
      <c r="R208" s="33">
        <f t="shared" si="44"/>
        <v>343</v>
      </c>
      <c r="S208" s="34">
        <f t="shared" si="45"/>
        <v>22000000</v>
      </c>
      <c r="T208" s="33">
        <f t="shared" si="46"/>
        <v>364.4375</v>
      </c>
      <c r="U208" s="42">
        <f t="shared" si="47"/>
        <v>24275862.068965517</v>
      </c>
      <c r="V208" s="44"/>
      <c r="W208" s="29">
        <f t="shared" si="49"/>
        <v>8847034482.7586212</v>
      </c>
      <c r="X208" s="41">
        <f t="shared" si="48"/>
        <v>33.04254680025705</v>
      </c>
      <c r="Y208" s="33">
        <f t="shared" si="50"/>
        <v>306.68986899510094</v>
      </c>
      <c r="Z208" s="33">
        <v>1.33</v>
      </c>
      <c r="AA208" s="29">
        <f t="shared" si="51"/>
        <v>407.89752576348428</v>
      </c>
      <c r="AB208" s="48">
        <f t="shared" si="52"/>
        <v>2068.2319366089137</v>
      </c>
      <c r="AD208" s="47">
        <f t="shared" si="53"/>
        <v>0</v>
      </c>
    </row>
    <row r="209" spans="1:30" x14ac:dyDescent="0.2">
      <c r="A209" s="30" t="s">
        <v>8860</v>
      </c>
      <c r="B209" s="29">
        <v>8</v>
      </c>
      <c r="C209" s="29">
        <v>2</v>
      </c>
      <c r="D209" s="29">
        <v>261</v>
      </c>
      <c r="E209" s="29">
        <v>6160</v>
      </c>
      <c r="F209" s="29">
        <v>6160</v>
      </c>
      <c r="G209" s="29">
        <v>12320</v>
      </c>
      <c r="H209" s="29">
        <v>36000</v>
      </c>
      <c r="I209" s="29">
        <v>6160</v>
      </c>
      <c r="J209" s="29">
        <v>92500000</v>
      </c>
      <c r="K209" s="29">
        <v>744</v>
      </c>
      <c r="L209" s="29">
        <v>994</v>
      </c>
      <c r="M209" s="29">
        <v>25</v>
      </c>
      <c r="N209" s="34">
        <v>25</v>
      </c>
      <c r="O209" s="29">
        <f t="shared" si="43"/>
        <v>869</v>
      </c>
      <c r="P209" s="32" cm="1">
        <f t="array" ref="P209">WPNFACTOR(C209)</f>
        <v>4.5</v>
      </c>
      <c r="Q209" s="34" cm="1">
        <f t="array" ref="Q209">HPFACTOr(C209)</f>
        <v>2</v>
      </c>
      <c r="R209" s="33">
        <f t="shared" si="44"/>
        <v>193.11111111111111</v>
      </c>
      <c r="S209" s="34">
        <f t="shared" si="45"/>
        <v>46250000</v>
      </c>
      <c r="T209" s="33">
        <f t="shared" si="46"/>
        <v>205.18055555555557</v>
      </c>
      <c r="U209" s="42">
        <f t="shared" si="47"/>
        <v>51034482.758620694</v>
      </c>
      <c r="V209" s="44"/>
      <c r="W209" s="29">
        <f t="shared" si="49"/>
        <v>10471283524.904217</v>
      </c>
      <c r="X209" s="41">
        <f t="shared" si="48"/>
        <v>33.285719241335343</v>
      </c>
      <c r="Y209" s="33">
        <f t="shared" si="50"/>
        <v>319.88949603359282</v>
      </c>
      <c r="Z209" s="33">
        <v>1.33</v>
      </c>
      <c r="AA209" s="29">
        <f t="shared" si="51"/>
        <v>425.45302972467846</v>
      </c>
      <c r="AB209" s="48">
        <f t="shared" si="52"/>
        <v>2187.7614877549586</v>
      </c>
      <c r="AD209" s="47">
        <f t="shared" si="53"/>
        <v>0</v>
      </c>
    </row>
    <row r="210" spans="1:30" x14ac:dyDescent="0.2">
      <c r="A210" s="30" t="s">
        <v>8860</v>
      </c>
      <c r="B210" s="29">
        <v>9</v>
      </c>
      <c r="C210" s="29">
        <v>2</v>
      </c>
      <c r="D210" s="29">
        <v>264</v>
      </c>
      <c r="E210" s="29">
        <v>6340</v>
      </c>
      <c r="F210" s="29">
        <v>6340</v>
      </c>
      <c r="G210" s="29">
        <v>12680</v>
      </c>
      <c r="H210" s="29">
        <v>37500</v>
      </c>
      <c r="I210" s="29">
        <v>6340</v>
      </c>
      <c r="J210" s="29">
        <v>97000000</v>
      </c>
      <c r="K210" s="29">
        <v>756</v>
      </c>
      <c r="L210" s="29">
        <v>1002</v>
      </c>
      <c r="M210" s="29">
        <v>25</v>
      </c>
      <c r="N210" s="34">
        <v>25</v>
      </c>
      <c r="O210" s="29">
        <f t="shared" si="43"/>
        <v>879</v>
      </c>
      <c r="P210" s="32" cm="1">
        <f t="array" ref="P210">WPNFACTOR(C210)</f>
        <v>4.5</v>
      </c>
      <c r="Q210" s="34" cm="1">
        <f t="array" ref="Q210">HPFACTOr(C210)</f>
        <v>2</v>
      </c>
      <c r="R210" s="33">
        <f t="shared" si="44"/>
        <v>195.33333333333334</v>
      </c>
      <c r="S210" s="34">
        <f t="shared" si="45"/>
        <v>48500000</v>
      </c>
      <c r="T210" s="33">
        <f t="shared" si="46"/>
        <v>207.54166666666669</v>
      </c>
      <c r="U210" s="42">
        <f t="shared" si="47"/>
        <v>53517241.379310347</v>
      </c>
      <c r="V210" s="44"/>
      <c r="W210" s="29">
        <f t="shared" si="49"/>
        <v>11107057471.26437</v>
      </c>
      <c r="X210" s="41">
        <f t="shared" si="48"/>
        <v>33.370757611335165</v>
      </c>
      <c r="Y210" s="33">
        <f t="shared" si="50"/>
        <v>324.63829947003478</v>
      </c>
      <c r="Z210" s="33">
        <v>1.33</v>
      </c>
      <c r="AA210" s="29">
        <f t="shared" si="51"/>
        <v>431.76893829514626</v>
      </c>
      <c r="AB210" s="48">
        <f t="shared" si="52"/>
        <v>2231.1717699253991</v>
      </c>
      <c r="AD210" s="47">
        <f t="shared" si="53"/>
        <v>0</v>
      </c>
    </row>
    <row r="211" spans="1:30" x14ac:dyDescent="0.2">
      <c r="A211" s="30" t="s">
        <v>8860</v>
      </c>
      <c r="B211" s="29">
        <v>10</v>
      </c>
      <c r="C211" s="29">
        <v>3</v>
      </c>
      <c r="D211" s="29">
        <v>270</v>
      </c>
      <c r="E211" s="29">
        <v>6700</v>
      </c>
      <c r="F211" s="29">
        <v>13400</v>
      </c>
      <c r="G211" s="29">
        <v>6700</v>
      </c>
      <c r="H211" s="29">
        <v>40500</v>
      </c>
      <c r="I211" s="29">
        <v>6700</v>
      </c>
      <c r="J211" s="29">
        <v>106000000</v>
      </c>
      <c r="K211" s="29">
        <v>781</v>
      </c>
      <c r="L211" s="29">
        <v>1029</v>
      </c>
      <c r="M211" s="29">
        <v>25</v>
      </c>
      <c r="N211" s="34">
        <v>25</v>
      </c>
      <c r="O211" s="29">
        <f t="shared" si="43"/>
        <v>905</v>
      </c>
      <c r="P211" s="32" cm="1">
        <f t="array" ref="P211">WPNFACTOR(C211)</f>
        <v>2.5</v>
      </c>
      <c r="Q211" s="34" cm="1">
        <f t="array" ref="Q211">HPFACTOr(C211)</f>
        <v>4</v>
      </c>
      <c r="R211" s="33">
        <f t="shared" si="44"/>
        <v>362</v>
      </c>
      <c r="S211" s="34">
        <f t="shared" si="45"/>
        <v>26500000</v>
      </c>
      <c r="T211" s="33">
        <f t="shared" si="46"/>
        <v>384.625</v>
      </c>
      <c r="U211" s="42">
        <f t="shared" si="47"/>
        <v>29241379.31034483</v>
      </c>
      <c r="V211" s="44"/>
      <c r="W211" s="29">
        <f t="shared" si="49"/>
        <v>11246965517.241381</v>
      </c>
      <c r="X211" s="41">
        <f t="shared" si="48"/>
        <v>33.388816757093345</v>
      </c>
      <c r="Y211" s="33">
        <f t="shared" si="50"/>
        <v>325.6558175809821</v>
      </c>
      <c r="Z211" s="33">
        <v>1.33</v>
      </c>
      <c r="AA211" s="29">
        <f t="shared" si="51"/>
        <v>433.1222373827062</v>
      </c>
      <c r="AB211" s="48">
        <f t="shared" si="52"/>
        <v>2240.5008922668417</v>
      </c>
      <c r="AD211" s="47">
        <f t="shared" si="53"/>
        <v>0</v>
      </c>
    </row>
    <row r="212" spans="1:30" x14ac:dyDescent="0.2">
      <c r="A212" s="30" t="s">
        <v>8861</v>
      </c>
      <c r="B212" s="29">
        <v>1</v>
      </c>
      <c r="C212" s="29">
        <v>2</v>
      </c>
      <c r="D212" s="29">
        <v>280</v>
      </c>
      <c r="E212" s="29">
        <v>7300</v>
      </c>
      <c r="F212" s="29">
        <v>7300</v>
      </c>
      <c r="G212" s="29">
        <v>14600</v>
      </c>
      <c r="H212" s="29">
        <v>45500</v>
      </c>
      <c r="I212" s="29">
        <v>7300</v>
      </c>
      <c r="J212" s="29">
        <v>121000000</v>
      </c>
      <c r="K212" s="29">
        <v>820</v>
      </c>
      <c r="L212" s="29">
        <v>1069</v>
      </c>
      <c r="M212" s="29">
        <v>25</v>
      </c>
      <c r="N212" s="34">
        <v>25</v>
      </c>
      <c r="O212" s="29">
        <f t="shared" si="43"/>
        <v>944.5</v>
      </c>
      <c r="P212" s="32" cm="1">
        <f t="array" ref="P212">WPNFACTOR(C212)</f>
        <v>4.5</v>
      </c>
      <c r="Q212" s="34" cm="1">
        <f t="array" ref="Q212">HPFACTOr(C212)</f>
        <v>2</v>
      </c>
      <c r="R212" s="33">
        <f t="shared" si="44"/>
        <v>209.88888888888889</v>
      </c>
      <c r="S212" s="34">
        <f t="shared" si="45"/>
        <v>60500000</v>
      </c>
      <c r="T212" s="33">
        <f t="shared" si="46"/>
        <v>223.00694444444443</v>
      </c>
      <c r="U212" s="42">
        <f t="shared" si="47"/>
        <v>66758620.689655177</v>
      </c>
      <c r="V212" s="44"/>
      <c r="W212" s="29">
        <f t="shared" si="49"/>
        <v>14887636015.32567</v>
      </c>
      <c r="X212" s="41">
        <f t="shared" si="48"/>
        <v>33.793395637667594</v>
      </c>
      <c r="Y212" s="33">
        <f t="shared" si="50"/>
        <v>349.30631370214377</v>
      </c>
      <c r="Z212" s="33">
        <v>1.33</v>
      </c>
      <c r="AA212" s="29">
        <f t="shared" si="51"/>
        <v>464.57739722385122</v>
      </c>
      <c r="AB212" s="48">
        <f t="shared" si="52"/>
        <v>2460.0385575359596</v>
      </c>
      <c r="AD212" s="47">
        <f t="shared" si="53"/>
        <v>0</v>
      </c>
    </row>
    <row r="213" spans="1:30" x14ac:dyDescent="0.2">
      <c r="A213" s="30" t="s">
        <v>8861</v>
      </c>
      <c r="B213" s="29">
        <v>2</v>
      </c>
      <c r="C213" s="29">
        <v>1</v>
      </c>
      <c r="D213" s="29">
        <v>283</v>
      </c>
      <c r="E213" s="29">
        <v>14960</v>
      </c>
      <c r="F213" s="29">
        <v>7480</v>
      </c>
      <c r="G213" s="29">
        <v>7480</v>
      </c>
      <c r="H213" s="29">
        <v>47000</v>
      </c>
      <c r="I213" s="29">
        <v>7480</v>
      </c>
      <c r="J213" s="29">
        <v>125500000</v>
      </c>
      <c r="K213" s="29">
        <v>832</v>
      </c>
      <c r="L213" s="29">
        <v>1080</v>
      </c>
      <c r="M213" s="29">
        <v>25</v>
      </c>
      <c r="N213" s="34">
        <v>25</v>
      </c>
      <c r="O213" s="29">
        <f t="shared" si="43"/>
        <v>956</v>
      </c>
      <c r="P213" s="32" cm="1">
        <f t="array" ref="P213">WPNFACTOR(C213)</f>
        <v>2</v>
      </c>
      <c r="Q213" s="34" cm="1">
        <f t="array" ref="Q213">HPFACTOr(C213)</f>
        <v>5</v>
      </c>
      <c r="R213" s="33">
        <f t="shared" si="44"/>
        <v>478</v>
      </c>
      <c r="S213" s="34">
        <f t="shared" si="45"/>
        <v>25100000</v>
      </c>
      <c r="T213" s="33">
        <f t="shared" si="46"/>
        <v>507.875</v>
      </c>
      <c r="U213" s="42">
        <f t="shared" si="47"/>
        <v>27696551.724137932</v>
      </c>
      <c r="V213" s="44"/>
      <c r="W213" s="29">
        <f t="shared" si="49"/>
        <v>14066386206.896553</v>
      </c>
      <c r="X213" s="41">
        <f t="shared" si="48"/>
        <v>33.711532682491104</v>
      </c>
      <c r="Y213" s="33">
        <f t="shared" si="50"/>
        <v>344.38611588073155</v>
      </c>
      <c r="Z213" s="33">
        <v>1.33</v>
      </c>
      <c r="AA213" s="29">
        <f t="shared" si="51"/>
        <v>458.03353412137301</v>
      </c>
      <c r="AB213" s="48">
        <f t="shared" si="52"/>
        <v>2413.9457871985055</v>
      </c>
      <c r="AD213" s="47">
        <f t="shared" si="53"/>
        <v>0</v>
      </c>
    </row>
    <row r="214" spans="1:30" x14ac:dyDescent="0.2">
      <c r="A214" s="30" t="s">
        <v>8861</v>
      </c>
      <c r="B214" s="29">
        <v>3</v>
      </c>
      <c r="C214" s="29">
        <v>3</v>
      </c>
      <c r="D214" s="29">
        <v>286</v>
      </c>
      <c r="E214" s="29">
        <v>7660</v>
      </c>
      <c r="F214" s="29">
        <v>15320</v>
      </c>
      <c r="G214" s="29">
        <v>7660</v>
      </c>
      <c r="H214" s="29">
        <v>48500</v>
      </c>
      <c r="I214" s="29">
        <v>7660</v>
      </c>
      <c r="J214" s="29">
        <v>130000000</v>
      </c>
      <c r="K214" s="29">
        <v>847</v>
      </c>
      <c r="L214" s="29">
        <v>1094</v>
      </c>
      <c r="M214" s="29">
        <v>25</v>
      </c>
      <c r="N214" s="34">
        <v>25</v>
      </c>
      <c r="O214" s="29">
        <f t="shared" si="43"/>
        <v>970.5</v>
      </c>
      <c r="P214" s="32" cm="1">
        <f t="array" ref="P214">WPNFACTOR(C214)</f>
        <v>2.5</v>
      </c>
      <c r="Q214" s="34" cm="1">
        <f t="array" ref="Q214">HPFACTOr(C214)</f>
        <v>4</v>
      </c>
      <c r="R214" s="33">
        <f t="shared" si="44"/>
        <v>388.2</v>
      </c>
      <c r="S214" s="34">
        <f t="shared" si="45"/>
        <v>32500000</v>
      </c>
      <c r="T214" s="33">
        <f t="shared" si="46"/>
        <v>412.46249999999998</v>
      </c>
      <c r="U214" s="42">
        <f t="shared" si="47"/>
        <v>35862068.965517245</v>
      </c>
      <c r="V214" s="44"/>
      <c r="W214" s="29">
        <f t="shared" si="49"/>
        <v>14791758620.689655</v>
      </c>
      <c r="X214" s="41">
        <f t="shared" si="48"/>
        <v>33.784074536301702</v>
      </c>
      <c r="Y214" s="33">
        <f t="shared" si="50"/>
        <v>348.74256125249411</v>
      </c>
      <c r="Z214" s="33">
        <v>1.33</v>
      </c>
      <c r="AA214" s="29">
        <f t="shared" si="51"/>
        <v>463.82760646581721</v>
      </c>
      <c r="AB214" s="48">
        <f t="shared" si="52"/>
        <v>2454.746241384893</v>
      </c>
      <c r="AD214" s="47">
        <f t="shared" si="53"/>
        <v>0</v>
      </c>
    </row>
    <row r="215" spans="1:30" x14ac:dyDescent="0.2">
      <c r="A215" s="30" t="s">
        <v>8861</v>
      </c>
      <c r="B215" s="29">
        <v>4</v>
      </c>
      <c r="C215" s="29">
        <v>1</v>
      </c>
      <c r="D215" s="29">
        <v>289</v>
      </c>
      <c r="E215" s="29">
        <v>15680</v>
      </c>
      <c r="F215" s="29">
        <v>7840</v>
      </c>
      <c r="G215" s="29">
        <v>7840</v>
      </c>
      <c r="H215" s="29">
        <v>50000</v>
      </c>
      <c r="I215" s="29">
        <v>7840</v>
      </c>
      <c r="J215" s="29">
        <v>134500000</v>
      </c>
      <c r="K215" s="29">
        <v>857</v>
      </c>
      <c r="L215" s="29">
        <v>1106</v>
      </c>
      <c r="M215" s="29">
        <v>25</v>
      </c>
      <c r="N215" s="34">
        <v>25</v>
      </c>
      <c r="O215" s="29">
        <f t="shared" si="43"/>
        <v>981.5</v>
      </c>
      <c r="P215" s="32" cm="1">
        <f t="array" ref="P215">WPNFACTOR(C215)</f>
        <v>2</v>
      </c>
      <c r="Q215" s="34" cm="1">
        <f t="array" ref="Q215">HPFACTOr(C215)</f>
        <v>5</v>
      </c>
      <c r="R215" s="33">
        <f t="shared" si="44"/>
        <v>490.75</v>
      </c>
      <c r="S215" s="34">
        <f t="shared" si="45"/>
        <v>26900000</v>
      </c>
      <c r="T215" s="33">
        <f t="shared" si="46"/>
        <v>521.421875</v>
      </c>
      <c r="U215" s="42">
        <f t="shared" si="47"/>
        <v>29682758.620689657</v>
      </c>
      <c r="V215" s="44"/>
      <c r="W215" s="29">
        <f t="shared" si="49"/>
        <v>15477239655.172415</v>
      </c>
      <c r="X215" s="41">
        <f t="shared" si="48"/>
        <v>33.849429140582373</v>
      </c>
      <c r="Y215" s="33">
        <f t="shared" si="50"/>
        <v>352.71455123759949</v>
      </c>
      <c r="Z215" s="33">
        <v>1.33</v>
      </c>
      <c r="AA215" s="29">
        <f t="shared" si="51"/>
        <v>469.11035314600736</v>
      </c>
      <c r="AB215" s="48">
        <f t="shared" si="52"/>
        <v>2492.0944757006978</v>
      </c>
      <c r="AD215" s="47">
        <f t="shared" si="53"/>
        <v>0</v>
      </c>
    </row>
    <row r="216" spans="1:30" x14ac:dyDescent="0.2">
      <c r="A216" s="30" t="s">
        <v>8861</v>
      </c>
      <c r="B216" s="29">
        <v>5</v>
      </c>
      <c r="C216" s="29">
        <v>3</v>
      </c>
      <c r="D216" s="29">
        <v>292</v>
      </c>
      <c r="E216" s="29">
        <v>8020</v>
      </c>
      <c r="F216" s="29">
        <v>16040</v>
      </c>
      <c r="G216" s="29">
        <v>8020</v>
      </c>
      <c r="H216" s="29">
        <v>51500</v>
      </c>
      <c r="I216" s="29">
        <v>8020</v>
      </c>
      <c r="J216" s="29">
        <v>139000000</v>
      </c>
      <c r="K216" s="29">
        <v>868</v>
      </c>
      <c r="L216" s="29">
        <v>1118</v>
      </c>
      <c r="M216" s="29">
        <v>25</v>
      </c>
      <c r="N216" s="34">
        <v>25</v>
      </c>
      <c r="O216" s="29">
        <f t="shared" si="43"/>
        <v>993</v>
      </c>
      <c r="P216" s="32" cm="1">
        <f t="array" ref="P216">WPNFACTOR(C216)</f>
        <v>2.5</v>
      </c>
      <c r="Q216" s="34" cm="1">
        <f t="array" ref="Q216">HPFACTOr(C216)</f>
        <v>4</v>
      </c>
      <c r="R216" s="33">
        <f t="shared" si="44"/>
        <v>397.2</v>
      </c>
      <c r="S216" s="34">
        <f t="shared" si="45"/>
        <v>34750000</v>
      </c>
      <c r="T216" s="33">
        <f t="shared" si="46"/>
        <v>422.02499999999998</v>
      </c>
      <c r="U216" s="42">
        <f t="shared" si="47"/>
        <v>38344827.586206898</v>
      </c>
      <c r="V216" s="44"/>
      <c r="W216" s="29">
        <f t="shared" si="49"/>
        <v>16182475862.068966</v>
      </c>
      <c r="X216" s="41">
        <f t="shared" si="48"/>
        <v>33.913713300811466</v>
      </c>
      <c r="Y216" s="33">
        <f t="shared" si="50"/>
        <v>356.665614646395</v>
      </c>
      <c r="Z216" s="33">
        <v>1.33</v>
      </c>
      <c r="AA216" s="29">
        <f t="shared" si="51"/>
        <v>474.36526747970538</v>
      </c>
      <c r="AB216" s="48">
        <f t="shared" si="52"/>
        <v>2529.385294480569</v>
      </c>
      <c r="AD216" s="47">
        <f t="shared" si="53"/>
        <v>0</v>
      </c>
    </row>
    <row r="217" spans="1:30" x14ac:dyDescent="0.2">
      <c r="A217" s="30" t="s">
        <v>8861</v>
      </c>
      <c r="B217" s="29">
        <v>6</v>
      </c>
      <c r="C217" s="29">
        <v>1</v>
      </c>
      <c r="D217" s="29">
        <v>295</v>
      </c>
      <c r="E217" s="29">
        <v>16400</v>
      </c>
      <c r="F217" s="29">
        <v>8200</v>
      </c>
      <c r="G217" s="29">
        <v>8200</v>
      </c>
      <c r="H217" s="29">
        <v>53000</v>
      </c>
      <c r="I217" s="29">
        <v>8200</v>
      </c>
      <c r="J217" s="29">
        <v>143500000</v>
      </c>
      <c r="K217" s="29">
        <v>880</v>
      </c>
      <c r="L217" s="29">
        <v>1130</v>
      </c>
      <c r="M217" s="29">
        <v>25</v>
      </c>
      <c r="N217" s="34">
        <v>25</v>
      </c>
      <c r="O217" s="29">
        <f t="shared" si="43"/>
        <v>1005</v>
      </c>
      <c r="P217" s="32" cm="1">
        <f t="array" ref="P217">WPNFACTOR(C217)</f>
        <v>2</v>
      </c>
      <c r="Q217" s="34" cm="1">
        <f t="array" ref="Q217">HPFACTOr(C217)</f>
        <v>5</v>
      </c>
      <c r="R217" s="33">
        <f t="shared" si="44"/>
        <v>502.5</v>
      </c>
      <c r="S217" s="34">
        <f t="shared" si="45"/>
        <v>28700000</v>
      </c>
      <c r="T217" s="33">
        <f t="shared" si="46"/>
        <v>533.90625</v>
      </c>
      <c r="U217" s="42">
        <f t="shared" si="47"/>
        <v>31668965.517241381</v>
      </c>
      <c r="V217" s="44"/>
      <c r="W217" s="29">
        <f t="shared" si="49"/>
        <v>16908258620.689655</v>
      </c>
      <c r="X217" s="41">
        <f t="shared" si="48"/>
        <v>33.977009033301556</v>
      </c>
      <c r="Y217" s="33">
        <f t="shared" si="50"/>
        <v>360.59916811622287</v>
      </c>
      <c r="Z217" s="33">
        <v>1.33</v>
      </c>
      <c r="AA217" s="29">
        <f t="shared" si="51"/>
        <v>479.59689359457644</v>
      </c>
      <c r="AB217" s="48">
        <f t="shared" si="52"/>
        <v>2566.6478939400554</v>
      </c>
      <c r="AD217" s="47">
        <f t="shared" si="53"/>
        <v>0</v>
      </c>
    </row>
    <row r="218" spans="1:30" x14ac:dyDescent="0.2">
      <c r="A218" s="30" t="s">
        <v>8861</v>
      </c>
      <c r="B218" s="29">
        <v>7</v>
      </c>
      <c r="C218" s="29">
        <v>3</v>
      </c>
      <c r="D218" s="29">
        <v>298</v>
      </c>
      <c r="E218" s="29">
        <v>8380</v>
      </c>
      <c r="F218" s="29">
        <v>16760</v>
      </c>
      <c r="G218" s="29">
        <v>8380</v>
      </c>
      <c r="H218" s="29">
        <v>54500</v>
      </c>
      <c r="I218" s="29">
        <v>8380</v>
      </c>
      <c r="J218" s="29">
        <v>148000000</v>
      </c>
      <c r="K218" s="29">
        <v>894</v>
      </c>
      <c r="L218" s="29">
        <v>1142</v>
      </c>
      <c r="M218" s="29">
        <v>25</v>
      </c>
      <c r="N218" s="34">
        <v>25</v>
      </c>
      <c r="O218" s="29">
        <f t="shared" si="43"/>
        <v>1018</v>
      </c>
      <c r="P218" s="32" cm="1">
        <f t="array" ref="P218">WPNFACTOR(C218)</f>
        <v>2.5</v>
      </c>
      <c r="Q218" s="34" cm="1">
        <f t="array" ref="Q218">HPFACTOr(C218)</f>
        <v>4</v>
      </c>
      <c r="R218" s="33">
        <f t="shared" si="44"/>
        <v>407.2</v>
      </c>
      <c r="S218" s="34">
        <f t="shared" si="45"/>
        <v>37000000</v>
      </c>
      <c r="T218" s="33">
        <f t="shared" si="46"/>
        <v>432.65</v>
      </c>
      <c r="U218" s="42">
        <f t="shared" si="47"/>
        <v>40827586.206896551</v>
      </c>
      <c r="V218" s="44"/>
      <c r="W218" s="29">
        <f t="shared" si="49"/>
        <v>17664055172.413792</v>
      </c>
      <c r="X218" s="41">
        <f t="shared" si="48"/>
        <v>34.040097532264227</v>
      </c>
      <c r="Y218" s="33">
        <f t="shared" si="50"/>
        <v>364.563011519741</v>
      </c>
      <c r="Z218" s="33">
        <v>1.33</v>
      </c>
      <c r="AA218" s="29">
        <f t="shared" si="51"/>
        <v>484.86880532125554</v>
      </c>
      <c r="AB218" s="48">
        <f t="shared" si="52"/>
        <v>2604.3347400978673</v>
      </c>
      <c r="AD218" s="47">
        <f t="shared" si="53"/>
        <v>0</v>
      </c>
    </row>
    <row r="219" spans="1:30" x14ac:dyDescent="0.2">
      <c r="A219" s="30" t="s">
        <v>8861</v>
      </c>
      <c r="B219" s="29">
        <v>8</v>
      </c>
      <c r="C219" s="29">
        <v>2</v>
      </c>
      <c r="D219" s="29">
        <v>301</v>
      </c>
      <c r="E219" s="29">
        <v>8560</v>
      </c>
      <c r="F219" s="29">
        <v>8560</v>
      </c>
      <c r="G219" s="29">
        <v>17120</v>
      </c>
      <c r="H219" s="29">
        <v>56000</v>
      </c>
      <c r="I219" s="29">
        <v>8560</v>
      </c>
      <c r="J219" s="29">
        <v>152500000</v>
      </c>
      <c r="K219" s="29">
        <v>908</v>
      </c>
      <c r="L219" s="29">
        <v>1152</v>
      </c>
      <c r="M219" s="29">
        <v>25</v>
      </c>
      <c r="N219" s="34">
        <v>25</v>
      </c>
      <c r="O219" s="29">
        <f t="shared" si="43"/>
        <v>1030</v>
      </c>
      <c r="P219" s="32" cm="1">
        <f t="array" ref="P219">WPNFACTOR(C219)</f>
        <v>4.5</v>
      </c>
      <c r="Q219" s="34" cm="1">
        <f t="array" ref="Q219">HPFACTOr(C219)</f>
        <v>2</v>
      </c>
      <c r="R219" s="33">
        <f t="shared" si="44"/>
        <v>228.88888888888889</v>
      </c>
      <c r="S219" s="34">
        <f t="shared" si="45"/>
        <v>76250000</v>
      </c>
      <c r="T219" s="33">
        <f t="shared" si="46"/>
        <v>243.19444444444443</v>
      </c>
      <c r="U219" s="42">
        <f t="shared" si="47"/>
        <v>84137931.034482762</v>
      </c>
      <c r="V219" s="44"/>
      <c r="W219" s="29">
        <f t="shared" si="49"/>
        <v>20461877394.636013</v>
      </c>
      <c r="X219" s="41">
        <f t="shared" si="48"/>
        <v>34.25221946852546</v>
      </c>
      <c r="Y219" s="33">
        <f t="shared" si="50"/>
        <v>378.21292781850207</v>
      </c>
      <c r="Z219" s="33">
        <v>1.33</v>
      </c>
      <c r="AA219" s="29">
        <f t="shared" si="51"/>
        <v>503.02319399860778</v>
      </c>
      <c r="AB219" s="48">
        <f t="shared" si="52"/>
        <v>2735.1542656079068</v>
      </c>
      <c r="AD219" s="47">
        <f t="shared" si="53"/>
        <v>0</v>
      </c>
    </row>
    <row r="220" spans="1:30" x14ac:dyDescent="0.2">
      <c r="A220" s="30" t="s">
        <v>8861</v>
      </c>
      <c r="B220" s="29">
        <v>9</v>
      </c>
      <c r="C220" s="29">
        <v>2</v>
      </c>
      <c r="D220" s="29">
        <v>304</v>
      </c>
      <c r="E220" s="29">
        <v>8740</v>
      </c>
      <c r="F220" s="29">
        <v>8740</v>
      </c>
      <c r="G220" s="29">
        <v>17480</v>
      </c>
      <c r="H220" s="29">
        <v>57500</v>
      </c>
      <c r="I220" s="29">
        <v>8740</v>
      </c>
      <c r="J220" s="29">
        <v>157000000</v>
      </c>
      <c r="K220" s="29">
        <v>918</v>
      </c>
      <c r="L220" s="29">
        <v>1162</v>
      </c>
      <c r="M220" s="29">
        <v>25</v>
      </c>
      <c r="N220" s="34">
        <v>25</v>
      </c>
      <c r="O220" s="29">
        <f t="shared" si="43"/>
        <v>1040</v>
      </c>
      <c r="P220" s="32" cm="1">
        <f t="array" ref="P220">WPNFACTOR(C220)</f>
        <v>4.5</v>
      </c>
      <c r="Q220" s="34" cm="1">
        <f t="array" ref="Q220">HPFACTOr(C220)</f>
        <v>2</v>
      </c>
      <c r="R220" s="33">
        <f t="shared" si="44"/>
        <v>231.11111111111111</v>
      </c>
      <c r="S220" s="34">
        <f t="shared" si="45"/>
        <v>78500000</v>
      </c>
      <c r="T220" s="33">
        <f t="shared" si="46"/>
        <v>245.55555555555557</v>
      </c>
      <c r="U220" s="42">
        <f t="shared" si="47"/>
        <v>86620689.655172423</v>
      </c>
      <c r="V220" s="44"/>
      <c r="W220" s="29">
        <f t="shared" si="49"/>
        <v>21270191570.881229</v>
      </c>
      <c r="X220" s="41">
        <f t="shared" si="48"/>
        <v>34.308113975924712</v>
      </c>
      <c r="Y220" s="33">
        <f t="shared" si="50"/>
        <v>381.89401336491659</v>
      </c>
      <c r="Z220" s="33">
        <v>1.33</v>
      </c>
      <c r="AA220" s="29">
        <f t="shared" si="51"/>
        <v>507.91903777533906</v>
      </c>
      <c r="AB220" s="48">
        <f t="shared" si="52"/>
        <v>2770.7061400896664</v>
      </c>
      <c r="AD220" s="47">
        <f t="shared" si="53"/>
        <v>0</v>
      </c>
    </row>
    <row r="221" spans="1:30" x14ac:dyDescent="0.2">
      <c r="A221" s="30" t="s">
        <v>8861</v>
      </c>
      <c r="B221" s="29">
        <v>10</v>
      </c>
      <c r="C221" s="29">
        <v>3</v>
      </c>
      <c r="D221" s="29">
        <v>310</v>
      </c>
      <c r="E221" s="29">
        <v>9100</v>
      </c>
      <c r="F221" s="29">
        <v>18200</v>
      </c>
      <c r="G221" s="29">
        <v>9100</v>
      </c>
      <c r="H221" s="29">
        <v>60500</v>
      </c>
      <c r="I221" s="29">
        <v>9100</v>
      </c>
      <c r="J221" s="29">
        <v>166000000</v>
      </c>
      <c r="K221" s="29">
        <v>941</v>
      </c>
      <c r="L221" s="29">
        <v>1189</v>
      </c>
      <c r="M221" s="29">
        <v>25</v>
      </c>
      <c r="N221" s="34">
        <v>25</v>
      </c>
      <c r="O221" s="29">
        <f t="shared" si="43"/>
        <v>1065</v>
      </c>
      <c r="P221" s="32" cm="1">
        <f t="array" ref="P221">WPNFACTOR(C221)</f>
        <v>2.5</v>
      </c>
      <c r="Q221" s="34" cm="1">
        <f t="array" ref="Q221">HPFACTOr(C221)</f>
        <v>4</v>
      </c>
      <c r="R221" s="33">
        <f t="shared" si="44"/>
        <v>426</v>
      </c>
      <c r="S221" s="34">
        <f t="shared" si="45"/>
        <v>41500000</v>
      </c>
      <c r="T221" s="33">
        <f t="shared" si="46"/>
        <v>452.625</v>
      </c>
      <c r="U221" s="42">
        <f t="shared" si="47"/>
        <v>45793103.448275864</v>
      </c>
      <c r="V221" s="44"/>
      <c r="W221" s="29">
        <f t="shared" si="49"/>
        <v>20727103448.275864</v>
      </c>
      <c r="X221" s="41">
        <f t="shared" si="48"/>
        <v>34.270799467019707</v>
      </c>
      <c r="Y221" s="33">
        <f t="shared" si="50"/>
        <v>379.43261046113531</v>
      </c>
      <c r="Z221" s="33">
        <v>1.33</v>
      </c>
      <c r="AA221" s="29">
        <f t="shared" si="51"/>
        <v>504.64537191330999</v>
      </c>
      <c r="AB221" s="48">
        <f t="shared" si="52"/>
        <v>2746.9212243247121</v>
      </c>
      <c r="AD221" s="47">
        <f t="shared" si="53"/>
        <v>0</v>
      </c>
    </row>
    <row r="222" spans="1:30" x14ac:dyDescent="0.2">
      <c r="A222" s="30" t="s">
        <v>8862</v>
      </c>
      <c r="B222" s="29">
        <v>1</v>
      </c>
      <c r="C222" s="29">
        <v>1</v>
      </c>
      <c r="D222" s="29">
        <v>313</v>
      </c>
      <c r="E222" s="29">
        <v>18560</v>
      </c>
      <c r="F222" s="29">
        <v>9280</v>
      </c>
      <c r="G222" s="29">
        <v>9280</v>
      </c>
      <c r="H222" s="29">
        <v>62000</v>
      </c>
      <c r="I222" s="29">
        <v>9280</v>
      </c>
      <c r="J222" s="29">
        <v>170500000</v>
      </c>
      <c r="K222" s="29">
        <v>953</v>
      </c>
      <c r="L222" s="29">
        <v>1199</v>
      </c>
      <c r="M222" s="29">
        <v>25</v>
      </c>
      <c r="N222" s="34">
        <v>25</v>
      </c>
      <c r="O222" s="29">
        <f t="shared" si="43"/>
        <v>1076</v>
      </c>
      <c r="P222" s="32" cm="1">
        <f t="array" ref="P222">WPNFACTOR(C222)</f>
        <v>2</v>
      </c>
      <c r="Q222" s="34" cm="1">
        <f t="array" ref="Q222">HPFACTOr(C222)</f>
        <v>5</v>
      </c>
      <c r="R222" s="33">
        <f t="shared" si="44"/>
        <v>538</v>
      </c>
      <c r="S222" s="34">
        <f t="shared" si="45"/>
        <v>34100000</v>
      </c>
      <c r="T222" s="33">
        <f t="shared" si="46"/>
        <v>571.625</v>
      </c>
      <c r="U222" s="42">
        <f t="shared" si="47"/>
        <v>37627586.206896551</v>
      </c>
      <c r="V222" s="44"/>
      <c r="W222" s="29">
        <f t="shared" si="49"/>
        <v>21508868965.517242</v>
      </c>
      <c r="X222" s="41">
        <f t="shared" si="48"/>
        <v>34.324212612140379</v>
      </c>
      <c r="Y222" s="33">
        <f t="shared" si="50"/>
        <v>382.96086326061618</v>
      </c>
      <c r="Z222" s="33">
        <v>1.33</v>
      </c>
      <c r="AA222" s="29">
        <f t="shared" si="51"/>
        <v>509.33794813661956</v>
      </c>
      <c r="AB222" s="48">
        <f t="shared" si="52"/>
        <v>2781.031179211041</v>
      </c>
      <c r="AD222" s="47">
        <f t="shared" si="53"/>
        <v>0</v>
      </c>
    </row>
    <row r="223" spans="1:30" x14ac:dyDescent="0.2">
      <c r="A223" s="30" t="s">
        <v>8862</v>
      </c>
      <c r="B223" s="29">
        <v>2</v>
      </c>
      <c r="C223" s="29">
        <v>1</v>
      </c>
      <c r="D223" s="29">
        <v>316</v>
      </c>
      <c r="E223" s="29">
        <v>18920</v>
      </c>
      <c r="F223" s="29">
        <v>9460</v>
      </c>
      <c r="G223" s="29">
        <v>9460</v>
      </c>
      <c r="H223" s="29">
        <v>63500</v>
      </c>
      <c r="I223" s="29">
        <v>9460</v>
      </c>
      <c r="J223" s="29">
        <v>175000000</v>
      </c>
      <c r="K223" s="29">
        <v>964</v>
      </c>
      <c r="L223" s="29">
        <v>1211</v>
      </c>
      <c r="M223" s="29">
        <v>25</v>
      </c>
      <c r="N223" s="34">
        <v>25</v>
      </c>
      <c r="O223" s="29">
        <f t="shared" si="43"/>
        <v>1087.5</v>
      </c>
      <c r="P223" s="32" cm="1">
        <f t="array" ref="P223">WPNFACTOR(C223)</f>
        <v>2</v>
      </c>
      <c r="Q223" s="34" cm="1">
        <f t="array" ref="Q223">HPFACTOr(C223)</f>
        <v>5</v>
      </c>
      <c r="R223" s="33">
        <f t="shared" si="44"/>
        <v>543.75</v>
      </c>
      <c r="S223" s="34">
        <f t="shared" si="45"/>
        <v>35000000</v>
      </c>
      <c r="T223" s="33">
        <f t="shared" si="46"/>
        <v>577.734375</v>
      </c>
      <c r="U223" s="42">
        <f t="shared" si="47"/>
        <v>38620689.655172415</v>
      </c>
      <c r="V223" s="44"/>
      <c r="W223" s="29">
        <f t="shared" si="49"/>
        <v>22312500000</v>
      </c>
      <c r="X223" s="41">
        <f t="shared" si="48"/>
        <v>34.377133118015365</v>
      </c>
      <c r="Y223" s="33">
        <f t="shared" si="50"/>
        <v>386.4889292889211</v>
      </c>
      <c r="Z223" s="33">
        <v>1.33</v>
      </c>
      <c r="AA223" s="29">
        <f t="shared" si="51"/>
        <v>514.03027595426511</v>
      </c>
      <c r="AB223" s="48">
        <f t="shared" si="52"/>
        <v>2815.2442350822794</v>
      </c>
      <c r="AD223" s="47">
        <f t="shared" si="53"/>
        <v>0</v>
      </c>
    </row>
    <row r="224" spans="1:30" x14ac:dyDescent="0.2">
      <c r="A224" s="30" t="s">
        <v>8862</v>
      </c>
      <c r="B224" s="29">
        <v>3</v>
      </c>
      <c r="C224" s="29">
        <v>2</v>
      </c>
      <c r="D224" s="29">
        <v>319</v>
      </c>
      <c r="E224" s="29">
        <v>9640</v>
      </c>
      <c r="F224" s="29">
        <v>9640</v>
      </c>
      <c r="G224" s="29">
        <v>19280</v>
      </c>
      <c r="H224" s="29">
        <v>65000</v>
      </c>
      <c r="I224" s="29">
        <v>9640</v>
      </c>
      <c r="J224" s="29">
        <v>179500000</v>
      </c>
      <c r="K224" s="29">
        <v>977</v>
      </c>
      <c r="L224" s="29">
        <v>1225</v>
      </c>
      <c r="M224" s="29">
        <v>25</v>
      </c>
      <c r="N224" s="34">
        <v>25</v>
      </c>
      <c r="O224" s="29">
        <f t="shared" si="43"/>
        <v>1101</v>
      </c>
      <c r="P224" s="32" cm="1">
        <f t="array" ref="P224">WPNFACTOR(C224)</f>
        <v>4.5</v>
      </c>
      <c r="Q224" s="34" cm="1">
        <f t="array" ref="Q224">HPFACTOr(C224)</f>
        <v>2</v>
      </c>
      <c r="R224" s="33">
        <f t="shared" si="44"/>
        <v>244.66666666666666</v>
      </c>
      <c r="S224" s="34">
        <f t="shared" si="45"/>
        <v>89750000</v>
      </c>
      <c r="T224" s="33">
        <f t="shared" si="46"/>
        <v>259.95833333333331</v>
      </c>
      <c r="U224" s="42">
        <f t="shared" si="47"/>
        <v>99034482.758620694</v>
      </c>
      <c r="V224" s="44"/>
      <c r="W224" s="29">
        <f t="shared" si="49"/>
        <v>25744839080.45977</v>
      </c>
      <c r="X224" s="41">
        <f t="shared" si="48"/>
        <v>34.583564201392051</v>
      </c>
      <c r="Y224" s="33">
        <f t="shared" si="50"/>
        <v>400.56458121309248</v>
      </c>
      <c r="Z224" s="33">
        <v>1.33</v>
      </c>
      <c r="AA224" s="29">
        <f t="shared" si="51"/>
        <v>532.75089301341302</v>
      </c>
      <c r="AB224" s="48">
        <f t="shared" si="52"/>
        <v>2952.7729965326166</v>
      </c>
      <c r="AD224" s="47">
        <f t="shared" si="53"/>
        <v>0</v>
      </c>
    </row>
    <row r="225" spans="1:30" x14ac:dyDescent="0.2">
      <c r="A225" s="30" t="s">
        <v>8862</v>
      </c>
      <c r="B225" s="29">
        <v>4</v>
      </c>
      <c r="C225" s="29">
        <v>1</v>
      </c>
      <c r="D225" s="29">
        <v>322</v>
      </c>
      <c r="E225" s="29">
        <v>19640</v>
      </c>
      <c r="F225" s="29">
        <v>9820</v>
      </c>
      <c r="G225" s="29">
        <v>9820</v>
      </c>
      <c r="H225" s="29">
        <v>66500</v>
      </c>
      <c r="I225" s="29">
        <v>9820</v>
      </c>
      <c r="J225" s="29">
        <v>184000000</v>
      </c>
      <c r="K225" s="29">
        <v>989</v>
      </c>
      <c r="L225" s="29">
        <v>1237</v>
      </c>
      <c r="M225" s="29">
        <v>25</v>
      </c>
      <c r="N225" s="34">
        <v>25</v>
      </c>
      <c r="O225" s="29">
        <f t="shared" si="43"/>
        <v>1113</v>
      </c>
      <c r="P225" s="32" cm="1">
        <f t="array" ref="P225">WPNFACTOR(C225)</f>
        <v>2</v>
      </c>
      <c r="Q225" s="34" cm="1">
        <f t="array" ref="Q225">HPFACTOr(C225)</f>
        <v>5</v>
      </c>
      <c r="R225" s="33">
        <f t="shared" si="44"/>
        <v>556.5</v>
      </c>
      <c r="S225" s="34">
        <f t="shared" si="45"/>
        <v>36800000</v>
      </c>
      <c r="T225" s="33">
        <f t="shared" si="46"/>
        <v>591.28125</v>
      </c>
      <c r="U225" s="42">
        <f t="shared" si="47"/>
        <v>40606896.551724136</v>
      </c>
      <c r="V225" s="44"/>
      <c r="W225" s="29">
        <f t="shared" si="49"/>
        <v>24010096551.724136</v>
      </c>
      <c r="X225" s="41">
        <f t="shared" si="48"/>
        <v>34.482922153958555</v>
      </c>
      <c r="Y225" s="33">
        <f t="shared" si="50"/>
        <v>393.63932336897773</v>
      </c>
      <c r="Z225" s="33">
        <v>1.33</v>
      </c>
      <c r="AA225" s="29">
        <f t="shared" si="51"/>
        <v>523.54030008074039</v>
      </c>
      <c r="AB225" s="48">
        <f t="shared" si="52"/>
        <v>2884.9035768889999</v>
      </c>
      <c r="AD225" s="47">
        <f t="shared" si="53"/>
        <v>0</v>
      </c>
    </row>
    <row r="226" spans="1:30" x14ac:dyDescent="0.2">
      <c r="A226" s="30" t="s">
        <v>8862</v>
      </c>
      <c r="B226" s="29">
        <v>5</v>
      </c>
      <c r="C226" s="29">
        <v>2</v>
      </c>
      <c r="D226" s="29">
        <v>325</v>
      </c>
      <c r="E226" s="29">
        <v>10000</v>
      </c>
      <c r="F226" s="29">
        <v>10000</v>
      </c>
      <c r="G226" s="29">
        <v>20000</v>
      </c>
      <c r="H226" s="29">
        <v>68000</v>
      </c>
      <c r="I226" s="29">
        <v>10000</v>
      </c>
      <c r="J226" s="29">
        <v>188500000</v>
      </c>
      <c r="K226" s="29">
        <v>1000</v>
      </c>
      <c r="L226" s="29">
        <v>1247</v>
      </c>
      <c r="M226" s="29">
        <v>25</v>
      </c>
      <c r="N226" s="34">
        <v>25</v>
      </c>
      <c r="O226" s="29">
        <f t="shared" si="43"/>
        <v>1123.5</v>
      </c>
      <c r="P226" s="32" cm="1">
        <f t="array" ref="P226">WPNFACTOR(C226)</f>
        <v>4.5</v>
      </c>
      <c r="Q226" s="34" cm="1">
        <f t="array" ref="Q226">HPFACTOr(C226)</f>
        <v>2</v>
      </c>
      <c r="R226" s="33">
        <f t="shared" si="44"/>
        <v>249.66666666666666</v>
      </c>
      <c r="S226" s="34">
        <f t="shared" si="45"/>
        <v>94250000</v>
      </c>
      <c r="T226" s="33">
        <f t="shared" si="46"/>
        <v>265.27083333333331</v>
      </c>
      <c r="U226" s="42">
        <f t="shared" si="47"/>
        <v>104000000</v>
      </c>
      <c r="V226" s="44"/>
      <c r="W226" s="29">
        <f t="shared" si="49"/>
        <v>27588166666.666664</v>
      </c>
      <c r="X226" s="41">
        <f t="shared" si="48"/>
        <v>34.683330536453205</v>
      </c>
      <c r="Y226" s="33">
        <f t="shared" si="50"/>
        <v>407.54982430618315</v>
      </c>
      <c r="Z226" s="33">
        <v>1.33</v>
      </c>
      <c r="AA226" s="29">
        <f t="shared" si="51"/>
        <v>542.04126632722364</v>
      </c>
      <c r="AB226" s="48">
        <f t="shared" si="52"/>
        <v>3021.6276574119784</v>
      </c>
      <c r="AD226" s="47">
        <f t="shared" si="53"/>
        <v>0</v>
      </c>
    </row>
    <row r="227" spans="1:30" x14ac:dyDescent="0.2">
      <c r="A227" s="30" t="s">
        <v>8862</v>
      </c>
      <c r="B227" s="29">
        <v>6</v>
      </c>
      <c r="C227" s="29">
        <v>3</v>
      </c>
      <c r="D227" s="29">
        <v>328</v>
      </c>
      <c r="E227" s="29">
        <v>10180</v>
      </c>
      <c r="F227" s="29">
        <v>20360</v>
      </c>
      <c r="G227" s="29">
        <v>10180</v>
      </c>
      <c r="H227" s="29">
        <v>69500</v>
      </c>
      <c r="I227" s="29">
        <v>10180</v>
      </c>
      <c r="J227" s="29">
        <v>193000000</v>
      </c>
      <c r="K227" s="29">
        <v>1016</v>
      </c>
      <c r="L227" s="29">
        <v>1254</v>
      </c>
      <c r="M227" s="29">
        <v>25</v>
      </c>
      <c r="N227" s="34">
        <v>25</v>
      </c>
      <c r="O227" s="29">
        <f t="shared" si="43"/>
        <v>1135</v>
      </c>
      <c r="P227" s="32" cm="1">
        <f t="array" ref="P227">WPNFACTOR(C227)</f>
        <v>2.5</v>
      </c>
      <c r="Q227" s="34" cm="1">
        <f t="array" ref="Q227">HPFACTOr(C227)</f>
        <v>4</v>
      </c>
      <c r="R227" s="33">
        <f t="shared" si="44"/>
        <v>454</v>
      </c>
      <c r="S227" s="34">
        <f t="shared" si="45"/>
        <v>48250000</v>
      </c>
      <c r="T227" s="33">
        <f t="shared" si="46"/>
        <v>482.375</v>
      </c>
      <c r="U227" s="42">
        <f t="shared" si="47"/>
        <v>53241379.31034483</v>
      </c>
      <c r="V227" s="44"/>
      <c r="W227" s="29">
        <f t="shared" si="49"/>
        <v>25682310344.827587</v>
      </c>
      <c r="X227" s="41">
        <f t="shared" si="48"/>
        <v>34.580055940005941</v>
      </c>
      <c r="Y227" s="33">
        <f t="shared" si="50"/>
        <v>400.32113784177358</v>
      </c>
      <c r="Z227" s="33">
        <v>1.33</v>
      </c>
      <c r="AA227" s="29">
        <f t="shared" si="51"/>
        <v>532.42711332955889</v>
      </c>
      <c r="AB227" s="48">
        <f t="shared" si="52"/>
        <v>2950.3805061160997</v>
      </c>
      <c r="AD227" s="47">
        <f t="shared" si="53"/>
        <v>0</v>
      </c>
    </row>
    <row r="228" spans="1:30" x14ac:dyDescent="0.2">
      <c r="A228" s="30" t="s">
        <v>8862</v>
      </c>
      <c r="B228" s="29">
        <v>7</v>
      </c>
      <c r="C228" s="29">
        <v>2</v>
      </c>
      <c r="D228" s="29">
        <v>331</v>
      </c>
      <c r="E228" s="29">
        <v>10360</v>
      </c>
      <c r="F228" s="29">
        <v>10360</v>
      </c>
      <c r="G228" s="29">
        <v>20720</v>
      </c>
      <c r="H228" s="29">
        <v>71000</v>
      </c>
      <c r="I228" s="29">
        <v>10360</v>
      </c>
      <c r="J228" s="29">
        <v>197500000</v>
      </c>
      <c r="K228" s="29">
        <v>1024</v>
      </c>
      <c r="L228" s="29">
        <v>1274</v>
      </c>
      <c r="M228" s="29">
        <v>25</v>
      </c>
      <c r="N228" s="34">
        <v>25</v>
      </c>
      <c r="O228" s="29">
        <f t="shared" si="43"/>
        <v>1149</v>
      </c>
      <c r="P228" s="32" cm="1">
        <f t="array" ref="P228">WPNFACTOR(C228)</f>
        <v>4.5</v>
      </c>
      <c r="Q228" s="34" cm="1">
        <f t="array" ref="Q228">HPFACTOr(C228)</f>
        <v>2</v>
      </c>
      <c r="R228" s="33">
        <f t="shared" si="44"/>
        <v>255.33333333333334</v>
      </c>
      <c r="S228" s="34">
        <f t="shared" si="45"/>
        <v>98750000</v>
      </c>
      <c r="T228" s="33">
        <f t="shared" si="46"/>
        <v>271.29166666666669</v>
      </c>
      <c r="U228" s="42">
        <f t="shared" si="47"/>
        <v>108965517.24137932</v>
      </c>
      <c r="V228" s="44"/>
      <c r="W228" s="29">
        <f t="shared" si="49"/>
        <v>29561436781.6092</v>
      </c>
      <c r="X228" s="41">
        <f t="shared" si="48"/>
        <v>34.782997339715209</v>
      </c>
      <c r="Y228" s="33">
        <f t="shared" si="50"/>
        <v>414.64972776772959</v>
      </c>
      <c r="Z228" s="33">
        <v>1.33</v>
      </c>
      <c r="AA228" s="29">
        <f t="shared" si="51"/>
        <v>551.48413793108034</v>
      </c>
      <c r="AB228" s="48">
        <f t="shared" si="52"/>
        <v>3092.0168084934098</v>
      </c>
      <c r="AD228" s="47">
        <f t="shared" si="53"/>
        <v>0</v>
      </c>
    </row>
    <row r="229" spans="1:30" x14ac:dyDescent="0.2">
      <c r="A229" s="30" t="s">
        <v>8862</v>
      </c>
      <c r="B229" s="29">
        <v>8</v>
      </c>
      <c r="C229" s="29">
        <v>2</v>
      </c>
      <c r="D229" s="29">
        <v>334</v>
      </c>
      <c r="E229" s="29">
        <v>10540</v>
      </c>
      <c r="F229" s="29">
        <v>10540</v>
      </c>
      <c r="G229" s="29">
        <v>21080</v>
      </c>
      <c r="H229" s="29">
        <v>72500</v>
      </c>
      <c r="I229" s="29">
        <v>10540</v>
      </c>
      <c r="J229" s="29">
        <v>202000000</v>
      </c>
      <c r="K229" s="29">
        <v>1037</v>
      </c>
      <c r="L229" s="29">
        <v>1286</v>
      </c>
      <c r="M229" s="29">
        <v>25</v>
      </c>
      <c r="N229" s="34">
        <v>25</v>
      </c>
      <c r="O229" s="29">
        <f t="shared" si="43"/>
        <v>1161.5</v>
      </c>
      <c r="P229" s="32" cm="1">
        <f t="array" ref="P229">WPNFACTOR(C229)</f>
        <v>4.5</v>
      </c>
      <c r="Q229" s="34" cm="1">
        <f t="array" ref="Q229">HPFACTOr(C229)</f>
        <v>2</v>
      </c>
      <c r="R229" s="33">
        <f t="shared" si="44"/>
        <v>258.11111111111109</v>
      </c>
      <c r="S229" s="34">
        <f t="shared" si="45"/>
        <v>101000000</v>
      </c>
      <c r="T229" s="33">
        <f t="shared" si="46"/>
        <v>274.24305555555554</v>
      </c>
      <c r="U229" s="42">
        <f t="shared" si="47"/>
        <v>111448275.86206897</v>
      </c>
      <c r="V229" s="44"/>
      <c r="W229" s="29">
        <f t="shared" si="49"/>
        <v>30563915708.81226</v>
      </c>
      <c r="X229" s="41">
        <f t="shared" si="48"/>
        <v>34.831110335565235</v>
      </c>
      <c r="Y229" s="33">
        <f t="shared" si="50"/>
        <v>418.12125793800834</v>
      </c>
      <c r="Z229" s="33">
        <v>1.33</v>
      </c>
      <c r="AA229" s="29">
        <f t="shared" si="51"/>
        <v>556.10127305755111</v>
      </c>
      <c r="AB229" s="48">
        <f t="shared" si="52"/>
        <v>3126.5808563451028</v>
      </c>
      <c r="AD229" s="47">
        <f t="shared" si="53"/>
        <v>0</v>
      </c>
    </row>
    <row r="230" spans="1:30" x14ac:dyDescent="0.2">
      <c r="A230" s="30" t="s">
        <v>8862</v>
      </c>
      <c r="B230" s="29">
        <v>9</v>
      </c>
      <c r="C230" s="29">
        <v>1</v>
      </c>
      <c r="D230" s="29">
        <v>337</v>
      </c>
      <c r="E230" s="29">
        <v>21440</v>
      </c>
      <c r="F230" s="29">
        <v>10720</v>
      </c>
      <c r="G230" s="29">
        <v>10720</v>
      </c>
      <c r="H230" s="29">
        <v>74000</v>
      </c>
      <c r="I230" s="29">
        <v>10720</v>
      </c>
      <c r="J230" s="29">
        <v>206500000</v>
      </c>
      <c r="K230" s="29">
        <v>1050</v>
      </c>
      <c r="L230" s="29">
        <v>1298</v>
      </c>
      <c r="M230" s="29">
        <v>25</v>
      </c>
      <c r="N230" s="34">
        <v>25</v>
      </c>
      <c r="O230" s="29">
        <f t="shared" si="43"/>
        <v>1174</v>
      </c>
      <c r="P230" s="32" cm="1">
        <f t="array" ref="P230">WPNFACTOR(C230)</f>
        <v>2</v>
      </c>
      <c r="Q230" s="34" cm="1">
        <f t="array" ref="Q230">HPFACTOr(C230)</f>
        <v>5</v>
      </c>
      <c r="R230" s="33">
        <f t="shared" si="44"/>
        <v>587</v>
      </c>
      <c r="S230" s="34">
        <f t="shared" si="45"/>
        <v>41300000</v>
      </c>
      <c r="T230" s="33">
        <f t="shared" si="46"/>
        <v>623.6875</v>
      </c>
      <c r="U230" s="42">
        <f t="shared" si="47"/>
        <v>45572413.793103449</v>
      </c>
      <c r="V230" s="44"/>
      <c r="W230" s="29">
        <f t="shared" si="49"/>
        <v>28422944827.586208</v>
      </c>
      <c r="X230" s="41">
        <f t="shared" si="48"/>
        <v>34.726336985089077</v>
      </c>
      <c r="Y230" s="33">
        <f t="shared" si="50"/>
        <v>410.59841447626405</v>
      </c>
      <c r="Z230" s="33">
        <v>1.33</v>
      </c>
      <c r="AA230" s="29">
        <f t="shared" si="51"/>
        <v>546.0958912534312</v>
      </c>
      <c r="AB230" s="48">
        <f t="shared" si="52"/>
        <v>3051.8020284468244</v>
      </c>
      <c r="AD230" s="47">
        <f t="shared" si="53"/>
        <v>0</v>
      </c>
    </row>
    <row r="231" spans="1:30" x14ac:dyDescent="0.2">
      <c r="A231" s="30" t="s">
        <v>8862</v>
      </c>
      <c r="B231" s="29">
        <v>10</v>
      </c>
      <c r="C231" s="29">
        <v>2</v>
      </c>
      <c r="D231" s="29">
        <v>340</v>
      </c>
      <c r="E231" s="29">
        <v>10900</v>
      </c>
      <c r="F231" s="29">
        <v>10900</v>
      </c>
      <c r="G231" s="29">
        <v>21800</v>
      </c>
      <c r="H231" s="29">
        <v>75500</v>
      </c>
      <c r="I231" s="29">
        <v>10900</v>
      </c>
      <c r="J231" s="29">
        <v>211000000</v>
      </c>
      <c r="K231" s="29">
        <v>1061</v>
      </c>
      <c r="L231" s="29">
        <v>1310</v>
      </c>
      <c r="M231" s="29">
        <v>25</v>
      </c>
      <c r="N231" s="34">
        <v>25</v>
      </c>
      <c r="O231" s="29">
        <f t="shared" si="43"/>
        <v>1185.5</v>
      </c>
      <c r="P231" s="32" cm="1">
        <f t="array" ref="P231">WPNFACTOR(C231)</f>
        <v>4.5</v>
      </c>
      <c r="Q231" s="34" cm="1">
        <f t="array" ref="Q231">HPFACTOr(C231)</f>
        <v>2</v>
      </c>
      <c r="R231" s="33">
        <f t="shared" si="44"/>
        <v>263.44444444444446</v>
      </c>
      <c r="S231" s="34">
        <f t="shared" si="45"/>
        <v>105500000</v>
      </c>
      <c r="T231" s="33">
        <f t="shared" si="46"/>
        <v>279.90972222222223</v>
      </c>
      <c r="U231" s="42">
        <f t="shared" si="47"/>
        <v>116413793.10344829</v>
      </c>
      <c r="V231" s="44"/>
      <c r="W231" s="29">
        <f t="shared" si="49"/>
        <v>32585352490.421459</v>
      </c>
      <c r="X231" s="41">
        <f t="shared" si="48"/>
        <v>34.923504550193819</v>
      </c>
      <c r="Y231" s="33">
        <f t="shared" si="50"/>
        <v>424.8695491196512</v>
      </c>
      <c r="Z231" s="33">
        <v>1.33</v>
      </c>
      <c r="AA231" s="29">
        <f t="shared" si="51"/>
        <v>565.07650032913614</v>
      </c>
      <c r="AB231" s="48">
        <f t="shared" si="52"/>
        <v>3194.0433619471946</v>
      </c>
      <c r="AD231" s="47">
        <f t="shared" si="53"/>
        <v>0</v>
      </c>
    </row>
    <row r="232" spans="1:30" x14ac:dyDescent="0.2">
      <c r="A232" s="30" t="s">
        <v>8863</v>
      </c>
      <c r="B232" s="29">
        <v>1</v>
      </c>
      <c r="C232" s="29">
        <v>1</v>
      </c>
      <c r="D232" s="29">
        <v>480</v>
      </c>
      <c r="E232" s="29">
        <v>66000</v>
      </c>
      <c r="F232" s="29">
        <v>35000</v>
      </c>
      <c r="G232" s="29">
        <v>35000</v>
      </c>
      <c r="H232" s="29">
        <v>174000</v>
      </c>
      <c r="I232" s="29">
        <v>35000</v>
      </c>
      <c r="J232" s="29">
        <v>540000000</v>
      </c>
      <c r="K232" s="29">
        <v>1901</v>
      </c>
      <c r="L232" s="29">
        <v>2144</v>
      </c>
      <c r="M232" s="29">
        <v>25</v>
      </c>
      <c r="N232" s="34">
        <v>25</v>
      </c>
      <c r="O232" s="29">
        <f t="shared" si="43"/>
        <v>2022.5</v>
      </c>
      <c r="P232" s="32" cm="1">
        <f t="array" ref="P232">WPNFACTOR(C232)</f>
        <v>2</v>
      </c>
      <c r="Q232" s="34" cm="1">
        <f t="array" ref="Q232">HPFACTOr(C232)</f>
        <v>5</v>
      </c>
      <c r="R232" s="33">
        <f t="shared" si="44"/>
        <v>1011.25</v>
      </c>
      <c r="S232" s="34">
        <f t="shared" si="45"/>
        <v>108000000</v>
      </c>
      <c r="T232" s="33">
        <f t="shared" si="46"/>
        <v>1074.453125</v>
      </c>
      <c r="U232" s="42">
        <f t="shared" si="47"/>
        <v>119172413.79310346</v>
      </c>
      <c r="V232" s="44"/>
      <c r="W232" s="29">
        <f t="shared" si="49"/>
        <v>128045172413.79311</v>
      </c>
      <c r="X232" s="41">
        <f t="shared" si="48"/>
        <v>36.897861904927751</v>
      </c>
      <c r="Y232" s="33">
        <f t="shared" si="50"/>
        <v>598.19227778247932</v>
      </c>
      <c r="Z232" s="33">
        <v>1.33</v>
      </c>
      <c r="AA232" s="29">
        <f t="shared" si="51"/>
        <v>795.59572945069749</v>
      </c>
      <c r="AB232" s="48">
        <f t="shared" si="52"/>
        <v>5040.2769806336537</v>
      </c>
      <c r="AD232" s="47">
        <f t="shared" si="53"/>
        <v>0</v>
      </c>
    </row>
    <row r="233" spans="1:30" x14ac:dyDescent="0.2">
      <c r="A233" s="30" t="s">
        <v>8863</v>
      </c>
      <c r="B233" s="29">
        <v>2</v>
      </c>
      <c r="C233" s="29">
        <v>2</v>
      </c>
      <c r="D233" s="29">
        <v>483</v>
      </c>
      <c r="E233" s="29">
        <v>35750</v>
      </c>
      <c r="F233" s="29">
        <v>35750</v>
      </c>
      <c r="G233" s="29">
        <v>67350</v>
      </c>
      <c r="H233" s="29">
        <v>176400</v>
      </c>
      <c r="I233" s="29">
        <v>35750</v>
      </c>
      <c r="J233" s="29">
        <v>549000000</v>
      </c>
      <c r="K233" s="29">
        <v>1918</v>
      </c>
      <c r="L233" s="29">
        <v>2162</v>
      </c>
      <c r="M233" s="29">
        <v>25</v>
      </c>
      <c r="N233" s="34">
        <v>25</v>
      </c>
      <c r="O233" s="29">
        <f t="shared" si="43"/>
        <v>2040</v>
      </c>
      <c r="P233" s="32" cm="1">
        <f t="array" ref="P233">WPNFACTOR(C233)</f>
        <v>4.5</v>
      </c>
      <c r="Q233" s="34" cm="1">
        <f t="array" ref="Q233">HPFACTOr(C233)</f>
        <v>2</v>
      </c>
      <c r="R233" s="33">
        <f t="shared" si="44"/>
        <v>453.33333333333331</v>
      </c>
      <c r="S233" s="34">
        <f t="shared" si="45"/>
        <v>274500000</v>
      </c>
      <c r="T233" s="33">
        <f t="shared" si="46"/>
        <v>481.66666666666663</v>
      </c>
      <c r="U233" s="42">
        <f t="shared" si="47"/>
        <v>302896551.72413796</v>
      </c>
      <c r="V233" s="44"/>
      <c r="W233" s="29">
        <f t="shared" si="49"/>
        <v>145895172413.79312</v>
      </c>
      <c r="X233" s="41">
        <f t="shared" si="48"/>
        <v>37.086141189868691</v>
      </c>
      <c r="Y233" s="33">
        <f t="shared" si="50"/>
        <v>618.03095852360548</v>
      </c>
      <c r="Z233" s="33">
        <v>1.33</v>
      </c>
      <c r="AA233" s="29">
        <f t="shared" si="51"/>
        <v>821.98117483639533</v>
      </c>
      <c r="AB233" s="48">
        <f t="shared" si="52"/>
        <v>5264.376888852209</v>
      </c>
      <c r="AD233" s="47">
        <f t="shared" si="53"/>
        <v>0</v>
      </c>
    </row>
    <row r="234" spans="1:30" x14ac:dyDescent="0.2">
      <c r="A234" s="30" t="s">
        <v>8863</v>
      </c>
      <c r="B234" s="29">
        <v>3</v>
      </c>
      <c r="C234" s="29">
        <v>3</v>
      </c>
      <c r="D234" s="29">
        <v>486</v>
      </c>
      <c r="E234" s="29">
        <v>36500</v>
      </c>
      <c r="F234" s="29">
        <v>68700</v>
      </c>
      <c r="G234" s="29">
        <v>36500</v>
      </c>
      <c r="H234" s="29">
        <v>178800</v>
      </c>
      <c r="I234" s="29">
        <v>36500</v>
      </c>
      <c r="J234" s="29">
        <v>558000000</v>
      </c>
      <c r="K234" s="29">
        <v>1931</v>
      </c>
      <c r="L234" s="29">
        <v>2174</v>
      </c>
      <c r="M234" s="29">
        <v>25</v>
      </c>
      <c r="N234" s="34">
        <v>25</v>
      </c>
      <c r="O234" s="29">
        <f t="shared" si="43"/>
        <v>2052.5</v>
      </c>
      <c r="P234" s="32" cm="1">
        <f t="array" ref="P234">WPNFACTOR(C234)</f>
        <v>2.5</v>
      </c>
      <c r="Q234" s="34" cm="1">
        <f t="array" ref="Q234">HPFACTOr(C234)</f>
        <v>4</v>
      </c>
      <c r="R234" s="33">
        <f t="shared" si="44"/>
        <v>821</v>
      </c>
      <c r="S234" s="34">
        <f t="shared" si="45"/>
        <v>139500000</v>
      </c>
      <c r="T234" s="33">
        <f t="shared" si="46"/>
        <v>872.3125</v>
      </c>
      <c r="U234" s="42">
        <f t="shared" si="47"/>
        <v>153931034.48275861</v>
      </c>
      <c r="V234" s="44"/>
      <c r="W234" s="29">
        <f t="shared" si="49"/>
        <v>134275965517.24138</v>
      </c>
      <c r="X234" s="41">
        <f t="shared" si="48"/>
        <v>36.966410139053934</v>
      </c>
      <c r="Y234" s="33">
        <f t="shared" si="50"/>
        <v>605.3402767485627</v>
      </c>
      <c r="Z234" s="33">
        <v>1.33</v>
      </c>
      <c r="AA234" s="29">
        <f t="shared" si="51"/>
        <v>805.10256807558847</v>
      </c>
      <c r="AB234" s="48">
        <f t="shared" si="52"/>
        <v>5120.7404212458359</v>
      </c>
      <c r="AD234" s="47">
        <f t="shared" si="53"/>
        <v>0</v>
      </c>
    </row>
    <row r="235" spans="1:30" x14ac:dyDescent="0.2">
      <c r="A235" s="30" t="s">
        <v>8863</v>
      </c>
      <c r="B235" s="29">
        <v>4</v>
      </c>
      <c r="C235" s="29">
        <v>1</v>
      </c>
      <c r="D235" s="29">
        <v>489</v>
      </c>
      <c r="E235" s="29">
        <v>70050</v>
      </c>
      <c r="F235" s="29">
        <v>37250</v>
      </c>
      <c r="G235" s="29">
        <v>37250</v>
      </c>
      <c r="H235" s="29">
        <v>181200</v>
      </c>
      <c r="I235" s="29">
        <v>37250</v>
      </c>
      <c r="J235" s="29">
        <v>567000000</v>
      </c>
      <c r="K235" s="29">
        <v>1948</v>
      </c>
      <c r="L235" s="29">
        <v>2189</v>
      </c>
      <c r="M235" s="29">
        <v>25</v>
      </c>
      <c r="N235" s="34">
        <v>25</v>
      </c>
      <c r="O235" s="29">
        <f t="shared" si="43"/>
        <v>2068.5</v>
      </c>
      <c r="P235" s="32" cm="1">
        <f t="array" ref="P235">WPNFACTOR(C235)</f>
        <v>2</v>
      </c>
      <c r="Q235" s="34" cm="1">
        <f t="array" ref="Q235">HPFACTOr(C235)</f>
        <v>5</v>
      </c>
      <c r="R235" s="33">
        <f t="shared" si="44"/>
        <v>1034.25</v>
      </c>
      <c r="S235" s="34">
        <f t="shared" si="45"/>
        <v>113400000</v>
      </c>
      <c r="T235" s="33">
        <f t="shared" si="46"/>
        <v>1098.890625</v>
      </c>
      <c r="U235" s="42">
        <f t="shared" si="47"/>
        <v>125131034.48275863</v>
      </c>
      <c r="V235" s="44"/>
      <c r="W235" s="29">
        <f t="shared" si="49"/>
        <v>137505320689.65518</v>
      </c>
      <c r="X235" s="41">
        <f t="shared" si="48"/>
        <v>37.000696487736946</v>
      </c>
      <c r="Y235" s="33">
        <f t="shared" si="50"/>
        <v>608.94753361997175</v>
      </c>
      <c r="Z235" s="33">
        <v>1.33</v>
      </c>
      <c r="AA235" s="29">
        <f t="shared" si="51"/>
        <v>809.90021971456247</v>
      </c>
      <c r="AB235" s="48">
        <f t="shared" si="52"/>
        <v>5161.4671514792644</v>
      </c>
      <c r="AD235" s="47">
        <f t="shared" si="53"/>
        <v>0</v>
      </c>
    </row>
    <row r="236" spans="1:30" x14ac:dyDescent="0.2">
      <c r="A236" s="30" t="s">
        <v>8863</v>
      </c>
      <c r="B236" s="29">
        <v>5</v>
      </c>
      <c r="C236" s="29">
        <v>2</v>
      </c>
      <c r="D236" s="29">
        <v>492</v>
      </c>
      <c r="E236" s="29">
        <v>38000</v>
      </c>
      <c r="F236" s="29">
        <v>38000</v>
      </c>
      <c r="G236" s="29">
        <v>71400</v>
      </c>
      <c r="H236" s="29">
        <v>183600</v>
      </c>
      <c r="I236" s="29">
        <v>38000</v>
      </c>
      <c r="J236" s="29">
        <v>576000000</v>
      </c>
      <c r="K236" s="29">
        <v>1962</v>
      </c>
      <c r="L236" s="29">
        <v>2202</v>
      </c>
      <c r="M236" s="29">
        <v>25</v>
      </c>
      <c r="N236" s="34">
        <v>25</v>
      </c>
      <c r="O236" s="29">
        <f t="shared" si="43"/>
        <v>2082</v>
      </c>
      <c r="P236" s="32" cm="1">
        <f t="array" ref="P236">WPNFACTOR(C236)</f>
        <v>4.5</v>
      </c>
      <c r="Q236" s="34" cm="1">
        <f t="array" ref="Q236">HPFACTOr(C236)</f>
        <v>2</v>
      </c>
      <c r="R236" s="33">
        <f t="shared" si="44"/>
        <v>462.66666666666669</v>
      </c>
      <c r="S236" s="34">
        <f t="shared" si="45"/>
        <v>288000000</v>
      </c>
      <c r="T236" s="33">
        <f t="shared" si="46"/>
        <v>491.58333333333337</v>
      </c>
      <c r="U236" s="42">
        <f t="shared" si="47"/>
        <v>317793103.44827586</v>
      </c>
      <c r="V236" s="44"/>
      <c r="W236" s="29">
        <f t="shared" si="49"/>
        <v>156221793103.4483</v>
      </c>
      <c r="X236" s="41">
        <f t="shared" si="48"/>
        <v>37.184804768746361</v>
      </c>
      <c r="Y236" s="33">
        <f t="shared" si="50"/>
        <v>628.6883382846629</v>
      </c>
      <c r="Z236" s="33">
        <v>1.33</v>
      </c>
      <c r="AA236" s="29">
        <f t="shared" si="51"/>
        <v>836.15548991860169</v>
      </c>
      <c r="AB236" s="48">
        <f t="shared" si="52"/>
        <v>5385.7625993537913</v>
      </c>
      <c r="AD236" s="47">
        <f t="shared" si="53"/>
        <v>0</v>
      </c>
    </row>
    <row r="237" spans="1:30" x14ac:dyDescent="0.2">
      <c r="A237" s="30" t="s">
        <v>8863</v>
      </c>
      <c r="B237" s="29">
        <v>6</v>
      </c>
      <c r="C237" s="29">
        <v>1</v>
      </c>
      <c r="D237" s="29">
        <v>495</v>
      </c>
      <c r="E237" s="29">
        <v>72750</v>
      </c>
      <c r="F237" s="29">
        <v>38750</v>
      </c>
      <c r="G237" s="29">
        <v>38750</v>
      </c>
      <c r="H237" s="29">
        <v>186000</v>
      </c>
      <c r="I237" s="29">
        <v>38750</v>
      </c>
      <c r="J237" s="29">
        <v>585000000</v>
      </c>
      <c r="K237" s="29">
        <v>1980</v>
      </c>
      <c r="L237" s="29">
        <v>2216</v>
      </c>
      <c r="M237" s="29">
        <v>25</v>
      </c>
      <c r="N237" s="34">
        <v>25</v>
      </c>
      <c r="O237" s="29">
        <f t="shared" si="43"/>
        <v>2098</v>
      </c>
      <c r="P237" s="32" cm="1">
        <f t="array" ref="P237">WPNFACTOR(C237)</f>
        <v>2</v>
      </c>
      <c r="Q237" s="34" cm="1">
        <f t="array" ref="Q237">HPFACTOr(C237)</f>
        <v>5</v>
      </c>
      <c r="R237" s="33">
        <f t="shared" si="44"/>
        <v>1049</v>
      </c>
      <c r="S237" s="34">
        <f t="shared" si="45"/>
        <v>117000000</v>
      </c>
      <c r="T237" s="33">
        <f t="shared" si="46"/>
        <v>1114.5625</v>
      </c>
      <c r="U237" s="42">
        <f t="shared" si="47"/>
        <v>129103448.27586207</v>
      </c>
      <c r="V237" s="44"/>
      <c r="W237" s="29">
        <f t="shared" si="49"/>
        <v>143893862068.96552</v>
      </c>
      <c r="X237" s="41">
        <f t="shared" si="48"/>
        <v>37.066214097607613</v>
      </c>
      <c r="Y237" s="33">
        <f t="shared" si="50"/>
        <v>615.90051504905762</v>
      </c>
      <c r="Z237" s="33">
        <v>1.33</v>
      </c>
      <c r="AA237" s="29">
        <f t="shared" si="51"/>
        <v>819.14768501524668</v>
      </c>
      <c r="AB237" s="48">
        <f t="shared" si="52"/>
        <v>5240.1946937955345</v>
      </c>
      <c r="AD237" s="47">
        <f t="shared" si="53"/>
        <v>0</v>
      </c>
    </row>
    <row r="238" spans="1:30" x14ac:dyDescent="0.2">
      <c r="A238" s="30" t="s">
        <v>8863</v>
      </c>
      <c r="B238" s="29">
        <v>7</v>
      </c>
      <c r="C238" s="29">
        <v>3</v>
      </c>
      <c r="D238" s="29">
        <v>498</v>
      </c>
      <c r="E238" s="29">
        <v>39500</v>
      </c>
      <c r="F238" s="29">
        <v>74100</v>
      </c>
      <c r="G238" s="29">
        <v>39500</v>
      </c>
      <c r="H238" s="29">
        <v>188400</v>
      </c>
      <c r="I238" s="29">
        <v>39500</v>
      </c>
      <c r="J238" s="29">
        <v>594000000</v>
      </c>
      <c r="K238" s="29">
        <v>1996</v>
      </c>
      <c r="L238" s="29">
        <v>2235</v>
      </c>
      <c r="M238" s="29">
        <v>25</v>
      </c>
      <c r="N238" s="34">
        <v>25</v>
      </c>
      <c r="O238" s="29">
        <f t="shared" si="43"/>
        <v>2115.5</v>
      </c>
      <c r="P238" s="32" cm="1">
        <f t="array" ref="P238">WPNFACTOR(C238)</f>
        <v>2.5</v>
      </c>
      <c r="Q238" s="34" cm="1">
        <f t="array" ref="Q238">HPFACTOr(C238)</f>
        <v>4</v>
      </c>
      <c r="R238" s="33">
        <f t="shared" si="44"/>
        <v>846.2</v>
      </c>
      <c r="S238" s="34">
        <f t="shared" si="45"/>
        <v>148500000</v>
      </c>
      <c r="T238" s="33">
        <f t="shared" si="46"/>
        <v>899.08750000000009</v>
      </c>
      <c r="U238" s="42">
        <f t="shared" si="47"/>
        <v>163862068.96551725</v>
      </c>
      <c r="V238" s="44"/>
      <c r="W238" s="29">
        <f t="shared" si="49"/>
        <v>147326337931.03452</v>
      </c>
      <c r="X238" s="41">
        <f t="shared" si="48"/>
        <v>37.100224411716695</v>
      </c>
      <c r="Y238" s="33">
        <f t="shared" si="50"/>
        <v>619.54106566903647</v>
      </c>
      <c r="Z238" s="33">
        <v>1.33</v>
      </c>
      <c r="AA238" s="29">
        <f t="shared" si="51"/>
        <v>823.98961733981855</v>
      </c>
      <c r="AB238" s="48">
        <f t="shared" si="52"/>
        <v>5281.5346244532893</v>
      </c>
      <c r="AD238" s="47">
        <f t="shared" si="53"/>
        <v>0</v>
      </c>
    </row>
    <row r="239" spans="1:30" x14ac:dyDescent="0.2">
      <c r="A239" s="30" t="s">
        <v>8863</v>
      </c>
      <c r="B239" s="29">
        <v>8</v>
      </c>
      <c r="C239" s="29">
        <v>3</v>
      </c>
      <c r="D239" s="29">
        <v>501</v>
      </c>
      <c r="E239" s="29">
        <v>40250</v>
      </c>
      <c r="F239" s="29">
        <v>80500</v>
      </c>
      <c r="G239" s="29">
        <v>40250</v>
      </c>
      <c r="H239" s="29">
        <v>190800</v>
      </c>
      <c r="I239" s="29">
        <v>40250</v>
      </c>
      <c r="J239" s="29">
        <v>603000000</v>
      </c>
      <c r="K239" s="29">
        <v>2017</v>
      </c>
      <c r="L239" s="29">
        <v>2254</v>
      </c>
      <c r="M239" s="29">
        <v>25</v>
      </c>
      <c r="N239" s="34">
        <v>25</v>
      </c>
      <c r="O239" s="29">
        <f t="shared" si="43"/>
        <v>2135.5</v>
      </c>
      <c r="P239" s="32" cm="1">
        <f t="array" ref="P239">WPNFACTOR(C239)</f>
        <v>2.5</v>
      </c>
      <c r="Q239" s="34" cm="1">
        <f t="array" ref="Q239">HPFACTOr(C239)</f>
        <v>4</v>
      </c>
      <c r="R239" s="33">
        <f t="shared" si="44"/>
        <v>854.2</v>
      </c>
      <c r="S239" s="34">
        <f t="shared" si="45"/>
        <v>150750000</v>
      </c>
      <c r="T239" s="33">
        <f t="shared" si="46"/>
        <v>907.58750000000009</v>
      </c>
      <c r="U239" s="42">
        <f t="shared" si="47"/>
        <v>166344827.58620691</v>
      </c>
      <c r="V239" s="44"/>
      <c r="W239" s="29">
        <f t="shared" si="49"/>
        <v>150972486206.89658</v>
      </c>
      <c r="X239" s="41">
        <f t="shared" si="48"/>
        <v>37.135494695101805</v>
      </c>
      <c r="Y239" s="33">
        <f t="shared" si="50"/>
        <v>623.33921792176113</v>
      </c>
      <c r="Z239" s="33">
        <v>1.33</v>
      </c>
      <c r="AA239" s="29">
        <f t="shared" si="51"/>
        <v>829.04115983594238</v>
      </c>
      <c r="AB239" s="48">
        <f t="shared" si="52"/>
        <v>5324.7505737462689</v>
      </c>
      <c r="AD239" s="47">
        <f t="shared" si="53"/>
        <v>0</v>
      </c>
    </row>
    <row r="240" spans="1:30" x14ac:dyDescent="0.2">
      <c r="A240" s="30" t="s">
        <v>8863</v>
      </c>
      <c r="B240" s="29">
        <v>9</v>
      </c>
      <c r="C240" s="29">
        <v>1</v>
      </c>
      <c r="D240" s="29">
        <v>504</v>
      </c>
      <c r="E240" s="29">
        <v>82000</v>
      </c>
      <c r="F240" s="29">
        <v>41000</v>
      </c>
      <c r="G240" s="29">
        <v>41000</v>
      </c>
      <c r="H240" s="29">
        <v>193200</v>
      </c>
      <c r="I240" s="29">
        <v>41000</v>
      </c>
      <c r="J240" s="29">
        <v>612000000</v>
      </c>
      <c r="K240" s="29">
        <v>2020</v>
      </c>
      <c r="L240" s="29">
        <v>2267</v>
      </c>
      <c r="M240" s="29">
        <v>25</v>
      </c>
      <c r="N240" s="34">
        <v>25</v>
      </c>
      <c r="O240" s="29">
        <f t="shared" si="43"/>
        <v>2143.5</v>
      </c>
      <c r="P240" s="32" cm="1">
        <f t="array" ref="P240">WPNFACTOR(C240)</f>
        <v>2</v>
      </c>
      <c r="Q240" s="34" cm="1">
        <f t="array" ref="Q240">HPFACTOr(C240)</f>
        <v>5</v>
      </c>
      <c r="R240" s="33">
        <f t="shared" si="44"/>
        <v>1071.75</v>
      </c>
      <c r="S240" s="34">
        <f t="shared" si="45"/>
        <v>122400000</v>
      </c>
      <c r="T240" s="33">
        <f t="shared" si="46"/>
        <v>1138.734375</v>
      </c>
      <c r="U240" s="42">
        <f t="shared" si="47"/>
        <v>135062068.96551725</v>
      </c>
      <c r="V240" s="44"/>
      <c r="W240" s="29">
        <f t="shared" si="49"/>
        <v>153799820689.65518</v>
      </c>
      <c r="X240" s="41">
        <f t="shared" si="48"/>
        <v>37.162262865069202</v>
      </c>
      <c r="Y240" s="33">
        <f t="shared" si="50"/>
        <v>626.23733712663102</v>
      </c>
      <c r="Z240" s="33">
        <v>1.33</v>
      </c>
      <c r="AA240" s="29">
        <f t="shared" si="51"/>
        <v>832.89565837841928</v>
      </c>
      <c r="AB240" s="48">
        <f t="shared" si="52"/>
        <v>5357.7849303327348</v>
      </c>
      <c r="AD240" s="47">
        <f t="shared" si="53"/>
        <v>0</v>
      </c>
    </row>
    <row r="241" spans="1:30" x14ac:dyDescent="0.2">
      <c r="A241" s="30" t="s">
        <v>8863</v>
      </c>
      <c r="B241" s="29">
        <v>10</v>
      </c>
      <c r="C241" s="29">
        <v>1</v>
      </c>
      <c r="D241" s="29">
        <v>510</v>
      </c>
      <c r="E241" s="29">
        <v>85000</v>
      </c>
      <c r="F241" s="29">
        <v>42500</v>
      </c>
      <c r="G241" s="29">
        <v>42500</v>
      </c>
      <c r="H241" s="29">
        <v>198000</v>
      </c>
      <c r="I241" s="29">
        <v>42500</v>
      </c>
      <c r="J241" s="29">
        <v>630000000</v>
      </c>
      <c r="K241" s="29">
        <v>2064</v>
      </c>
      <c r="L241" s="29">
        <v>2296</v>
      </c>
      <c r="M241" s="29">
        <v>25</v>
      </c>
      <c r="N241" s="34">
        <v>25</v>
      </c>
      <c r="O241" s="29">
        <f t="shared" si="43"/>
        <v>2180</v>
      </c>
      <c r="P241" s="32" cm="1">
        <f t="array" ref="P241">WPNFACTOR(C241)</f>
        <v>2</v>
      </c>
      <c r="Q241" s="34" cm="1">
        <f t="array" ref="Q241">HPFACTOr(C241)</f>
        <v>5</v>
      </c>
      <c r="R241" s="33">
        <f t="shared" si="44"/>
        <v>1090</v>
      </c>
      <c r="S241" s="34">
        <f t="shared" si="45"/>
        <v>126000000</v>
      </c>
      <c r="T241" s="33">
        <f t="shared" si="46"/>
        <v>1158.125</v>
      </c>
      <c r="U241" s="42">
        <f t="shared" si="47"/>
        <v>139034482.75862068</v>
      </c>
      <c r="V241" s="44"/>
      <c r="W241" s="29">
        <f t="shared" si="49"/>
        <v>161019310344.82758</v>
      </c>
      <c r="X241" s="41">
        <f t="shared" si="48"/>
        <v>37.228442758611145</v>
      </c>
      <c r="Y241" s="33">
        <f t="shared" si="50"/>
        <v>633.46042898120095</v>
      </c>
      <c r="Z241" s="33">
        <v>1.33</v>
      </c>
      <c r="AA241" s="29">
        <f t="shared" si="51"/>
        <v>842.50237054499735</v>
      </c>
      <c r="AB241" s="48">
        <f t="shared" si="52"/>
        <v>5440.339312844827</v>
      </c>
      <c r="AD241" s="47">
        <f t="shared" si="53"/>
        <v>0</v>
      </c>
    </row>
    <row r="242" spans="1:30" x14ac:dyDescent="0.2">
      <c r="A242" s="30" t="s">
        <v>8864</v>
      </c>
      <c r="B242" s="29">
        <v>1</v>
      </c>
      <c r="C242" s="29">
        <v>3</v>
      </c>
      <c r="D242" s="29">
        <v>410</v>
      </c>
      <c r="E242" s="29">
        <v>8720</v>
      </c>
      <c r="F242" s="29">
        <v>34720</v>
      </c>
      <c r="G242" s="29">
        <v>8680</v>
      </c>
      <c r="H242" s="29">
        <v>33600</v>
      </c>
      <c r="I242" s="29">
        <v>12436</v>
      </c>
      <c r="J242" s="29">
        <v>55238400</v>
      </c>
      <c r="K242" s="29">
        <v>671</v>
      </c>
      <c r="L242" s="29">
        <v>1034</v>
      </c>
      <c r="N242" s="34"/>
      <c r="O242" s="29">
        <f t="shared" si="43"/>
        <v>852.5</v>
      </c>
      <c r="P242" s="32" cm="1">
        <f t="array" ref="P242">WPNFACTOR(C242)</f>
        <v>2.5</v>
      </c>
      <c r="Q242" s="34" cm="1">
        <f t="array" ref="Q242">HPFACTOr(C242)</f>
        <v>4</v>
      </c>
      <c r="R242" s="33">
        <f t="shared" si="44"/>
        <v>341</v>
      </c>
      <c r="S242" s="34">
        <f t="shared" si="45"/>
        <v>13809600</v>
      </c>
      <c r="T242" s="33">
        <f t="shared" si="46"/>
        <v>341</v>
      </c>
      <c r="U242" s="42">
        <f t="shared" si="47"/>
        <v>13809600</v>
      </c>
      <c r="V242" s="44"/>
      <c r="W242" s="29">
        <f t="shared" si="49"/>
        <v>4709073600</v>
      </c>
      <c r="X242" s="41">
        <f t="shared" si="48"/>
        <v>32.13279612525934</v>
      </c>
      <c r="Y242" s="33">
        <f t="shared" si="50"/>
        <v>261.95932914301784</v>
      </c>
      <c r="Z242" s="33">
        <v>1.33</v>
      </c>
      <c r="AA242" s="29">
        <f t="shared" si="51"/>
        <v>348.40590776021372</v>
      </c>
      <c r="AB242" s="48">
        <f t="shared" si="52"/>
        <v>1676.145927071773</v>
      </c>
      <c r="AD242" s="47">
        <f t="shared" si="53"/>
        <v>0</v>
      </c>
    </row>
    <row r="243" spans="1:30" x14ac:dyDescent="0.2">
      <c r="A243" s="30" t="s">
        <v>8864</v>
      </c>
      <c r="B243" s="29">
        <v>2</v>
      </c>
      <c r="C243" s="29">
        <v>2</v>
      </c>
      <c r="D243" s="29">
        <v>420</v>
      </c>
      <c r="E243" s="29">
        <v>11100</v>
      </c>
      <c r="F243" s="29">
        <v>11200</v>
      </c>
      <c r="G243" s="29">
        <v>45000</v>
      </c>
      <c r="H243" s="29">
        <v>42800</v>
      </c>
      <c r="I243" s="29">
        <v>15940</v>
      </c>
      <c r="J243" s="29">
        <v>36037600</v>
      </c>
      <c r="K243" s="29">
        <v>967</v>
      </c>
      <c r="L243" s="29">
        <v>2193</v>
      </c>
      <c r="N243" s="34"/>
      <c r="O243" s="29">
        <f t="shared" si="43"/>
        <v>1580</v>
      </c>
      <c r="P243" s="32" cm="1">
        <f t="array" ref="P243">WPNFACTOR(C243)</f>
        <v>4.5</v>
      </c>
      <c r="Q243" s="34" cm="1">
        <f t="array" ref="Q243">HPFACTOr(C243)</f>
        <v>2</v>
      </c>
      <c r="R243" s="33">
        <f t="shared" si="44"/>
        <v>351.11111111111109</v>
      </c>
      <c r="S243" s="34">
        <f t="shared" si="45"/>
        <v>18018800</v>
      </c>
      <c r="T243" s="33">
        <f t="shared" si="46"/>
        <v>351.11111111111109</v>
      </c>
      <c r="U243" s="42">
        <f t="shared" si="47"/>
        <v>18018800</v>
      </c>
      <c r="V243" s="44"/>
      <c r="W243" s="29">
        <f t="shared" si="49"/>
        <v>6326600888.8888884</v>
      </c>
      <c r="X243" s="41">
        <f t="shared" si="48"/>
        <v>32.558783440864424</v>
      </c>
      <c r="Y243" s="33">
        <f t="shared" si="50"/>
        <v>282.02824799720042</v>
      </c>
      <c r="Z243" s="33">
        <v>1.33</v>
      </c>
      <c r="AA243" s="29">
        <f t="shared" si="51"/>
        <v>375.09756983627659</v>
      </c>
      <c r="AB243" s="48">
        <f t="shared" si="52"/>
        <v>1849.5105487639833</v>
      </c>
      <c r="AD243" s="47">
        <f t="shared" si="53"/>
        <v>0</v>
      </c>
    </row>
    <row r="244" spans="1:30" x14ac:dyDescent="0.2">
      <c r="A244" s="30" t="s">
        <v>8864</v>
      </c>
      <c r="B244" s="29">
        <v>3</v>
      </c>
      <c r="C244" s="29">
        <v>1</v>
      </c>
      <c r="D244" s="29">
        <v>430</v>
      </c>
      <c r="E244" s="29">
        <v>45800</v>
      </c>
      <c r="F244" s="29">
        <v>16060</v>
      </c>
      <c r="G244" s="29">
        <v>15935</v>
      </c>
      <c r="H244" s="29">
        <v>44400</v>
      </c>
      <c r="I244" s="29">
        <v>10170</v>
      </c>
      <c r="J244" s="29">
        <v>95682000</v>
      </c>
      <c r="K244" s="29">
        <v>481</v>
      </c>
      <c r="L244" s="29">
        <v>971</v>
      </c>
      <c r="N244" s="34"/>
      <c r="O244" s="29">
        <f t="shared" si="43"/>
        <v>726</v>
      </c>
      <c r="P244" s="32" cm="1">
        <f t="array" ref="P244">WPNFACTOR(C244)</f>
        <v>2</v>
      </c>
      <c r="Q244" s="34" cm="1">
        <f t="array" ref="Q244">HPFACTOr(C244)</f>
        <v>5</v>
      </c>
      <c r="R244" s="33">
        <f t="shared" si="44"/>
        <v>363</v>
      </c>
      <c r="S244" s="34">
        <f t="shared" si="45"/>
        <v>19136400</v>
      </c>
      <c r="T244" s="33">
        <f t="shared" si="46"/>
        <v>363</v>
      </c>
      <c r="U244" s="42">
        <f t="shared" si="47"/>
        <v>19136400</v>
      </c>
      <c r="V244" s="44"/>
      <c r="W244" s="29">
        <f t="shared" si="49"/>
        <v>6946513200</v>
      </c>
      <c r="X244" s="41">
        <f t="shared" si="48"/>
        <v>32.693641853209684</v>
      </c>
      <c r="Y244" s="33">
        <f t="shared" si="50"/>
        <v>288.69663133188527</v>
      </c>
      <c r="Z244" s="33">
        <v>1.33</v>
      </c>
      <c r="AA244" s="29">
        <f t="shared" si="51"/>
        <v>383.96651967140741</v>
      </c>
      <c r="AB244" s="48">
        <f t="shared" si="52"/>
        <v>1908.0465028287315</v>
      </c>
      <c r="AD244" s="47">
        <f t="shared" si="53"/>
        <v>0</v>
      </c>
    </row>
    <row r="245" spans="1:30" x14ac:dyDescent="0.2">
      <c r="A245" s="30" t="s">
        <v>8864</v>
      </c>
      <c r="B245" s="29">
        <v>4</v>
      </c>
      <c r="C245" s="29">
        <v>3</v>
      </c>
      <c r="D245" s="29">
        <v>440</v>
      </c>
      <c r="E245" s="29">
        <v>11800</v>
      </c>
      <c r="F245" s="29">
        <v>47000</v>
      </c>
      <c r="G245" s="29">
        <v>11750</v>
      </c>
      <c r="H245" s="29">
        <v>45600</v>
      </c>
      <c r="I245" s="29">
        <v>16805</v>
      </c>
      <c r="J245" s="29">
        <v>80438400</v>
      </c>
      <c r="K245" s="29">
        <v>743</v>
      </c>
      <c r="L245" s="29">
        <v>1142</v>
      </c>
      <c r="N245" s="34"/>
      <c r="O245" s="29">
        <f t="shared" si="43"/>
        <v>942.5</v>
      </c>
      <c r="P245" s="32" cm="1">
        <f t="array" ref="P245">WPNFACTOR(C245)</f>
        <v>2.5</v>
      </c>
      <c r="Q245" s="34" cm="1">
        <f t="array" ref="Q245">HPFACTOr(C245)</f>
        <v>4</v>
      </c>
      <c r="R245" s="33">
        <f t="shared" si="44"/>
        <v>377</v>
      </c>
      <c r="S245" s="34">
        <f t="shared" si="45"/>
        <v>20109600</v>
      </c>
      <c r="T245" s="33">
        <f t="shared" si="46"/>
        <v>377</v>
      </c>
      <c r="U245" s="42">
        <f t="shared" si="47"/>
        <v>20109600</v>
      </c>
      <c r="V245" s="44"/>
      <c r="W245" s="29">
        <f t="shared" si="49"/>
        <v>7581319200</v>
      </c>
      <c r="X245" s="41">
        <f t="shared" si="48"/>
        <v>32.81980176276565</v>
      </c>
      <c r="Y245" s="33">
        <f t="shared" si="50"/>
        <v>295.07756813276109</v>
      </c>
      <c r="Z245" s="33">
        <v>1.33</v>
      </c>
      <c r="AA245" s="29">
        <f t="shared" si="51"/>
        <v>392.45316561657228</v>
      </c>
      <c r="AB245" s="48">
        <f t="shared" si="52"/>
        <v>1964.4829360353817</v>
      </c>
      <c r="AD245" s="47">
        <f t="shared" si="53"/>
        <v>0</v>
      </c>
    </row>
    <row r="246" spans="1:30" x14ac:dyDescent="0.2">
      <c r="A246" s="30" t="s">
        <v>8864</v>
      </c>
      <c r="B246" s="29">
        <v>5</v>
      </c>
      <c r="C246" s="29">
        <v>1</v>
      </c>
      <c r="D246" s="29">
        <v>450</v>
      </c>
      <c r="E246" s="29">
        <v>57840</v>
      </c>
      <c r="F246" s="29">
        <v>20280</v>
      </c>
      <c r="G246" s="29">
        <v>20130</v>
      </c>
      <c r="H246" s="29">
        <v>56160</v>
      </c>
      <c r="I246" s="29">
        <v>12780</v>
      </c>
      <c r="J246" s="29">
        <v>126640800</v>
      </c>
      <c r="K246" s="29">
        <v>505</v>
      </c>
      <c r="L246" s="29">
        <v>1044</v>
      </c>
      <c r="N246" s="34"/>
      <c r="O246" s="29">
        <f t="shared" si="43"/>
        <v>774.5</v>
      </c>
      <c r="P246" s="32" cm="1">
        <f t="array" ref="P246">WPNFACTOR(C246)</f>
        <v>2</v>
      </c>
      <c r="Q246" s="34" cm="1">
        <f t="array" ref="Q246">HPFACTOr(C246)</f>
        <v>5</v>
      </c>
      <c r="R246" s="33">
        <f t="shared" si="44"/>
        <v>387.25</v>
      </c>
      <c r="S246" s="34">
        <f t="shared" si="45"/>
        <v>25328160</v>
      </c>
      <c r="T246" s="33">
        <f t="shared" si="46"/>
        <v>387.25</v>
      </c>
      <c r="U246" s="42">
        <f t="shared" si="47"/>
        <v>25328160</v>
      </c>
      <c r="V246" s="44"/>
      <c r="W246" s="29">
        <f t="shared" si="49"/>
        <v>9808329960</v>
      </c>
      <c r="X246" s="41">
        <f t="shared" si="48"/>
        <v>33.191360367236868</v>
      </c>
      <c r="Y246" s="33">
        <f t="shared" si="50"/>
        <v>314.70146660123589</v>
      </c>
      <c r="Z246" s="33">
        <v>1.33</v>
      </c>
      <c r="AA246" s="29">
        <f t="shared" si="51"/>
        <v>418.55295057964378</v>
      </c>
      <c r="AB246" s="48">
        <f t="shared" si="52"/>
        <v>2140.581112747906</v>
      </c>
      <c r="AD246" s="47">
        <f t="shared" si="53"/>
        <v>0</v>
      </c>
    </row>
    <row r="247" spans="1:30" x14ac:dyDescent="0.2">
      <c r="A247" s="30" t="s">
        <v>8864</v>
      </c>
      <c r="B247" s="29">
        <v>6</v>
      </c>
      <c r="C247" s="29">
        <v>1</v>
      </c>
      <c r="D247" s="29">
        <v>460</v>
      </c>
      <c r="E247" s="29">
        <v>59280</v>
      </c>
      <c r="F247" s="29">
        <v>20784</v>
      </c>
      <c r="G247" s="29">
        <v>20634</v>
      </c>
      <c r="H247" s="29">
        <v>57600</v>
      </c>
      <c r="I247" s="29">
        <v>13068</v>
      </c>
      <c r="J247" s="29">
        <v>132768000</v>
      </c>
      <c r="K247" s="29">
        <v>517</v>
      </c>
      <c r="L247" s="29">
        <v>1080</v>
      </c>
      <c r="N247" s="34"/>
      <c r="O247" s="29">
        <f t="shared" si="43"/>
        <v>798.5</v>
      </c>
      <c r="P247" s="32" cm="1">
        <f t="array" ref="P247">WPNFACTOR(C247)</f>
        <v>2</v>
      </c>
      <c r="Q247" s="34" cm="1">
        <f t="array" ref="Q247">HPFACTOr(C247)</f>
        <v>5</v>
      </c>
      <c r="R247" s="33">
        <f t="shared" si="44"/>
        <v>399.25</v>
      </c>
      <c r="S247" s="34">
        <f t="shared" si="45"/>
        <v>26553600</v>
      </c>
      <c r="T247" s="33">
        <f t="shared" si="46"/>
        <v>399.25</v>
      </c>
      <c r="U247" s="42">
        <f t="shared" si="47"/>
        <v>26553600</v>
      </c>
      <c r="V247" s="44"/>
      <c r="W247" s="29">
        <f t="shared" si="49"/>
        <v>10601524800</v>
      </c>
      <c r="X247" s="41">
        <f t="shared" si="48"/>
        <v>33.303552729057607</v>
      </c>
      <c r="Y247" s="33">
        <f t="shared" si="50"/>
        <v>320.87958212856137</v>
      </c>
      <c r="Z247" s="33">
        <v>1.33</v>
      </c>
      <c r="AA247" s="29">
        <f t="shared" si="51"/>
        <v>426.76984423098662</v>
      </c>
      <c r="AB247" s="48">
        <f t="shared" si="52"/>
        <v>2196.794560535614</v>
      </c>
      <c r="AD247" s="47">
        <f t="shared" si="53"/>
        <v>0</v>
      </c>
    </row>
    <row r="248" spans="1:30" x14ac:dyDescent="0.2">
      <c r="A248" s="30" t="s">
        <v>8864</v>
      </c>
      <c r="B248" s="29">
        <v>7</v>
      </c>
      <c r="C248" s="29">
        <v>2</v>
      </c>
      <c r="D248" s="29">
        <v>470</v>
      </c>
      <c r="E248" s="29">
        <v>15120</v>
      </c>
      <c r="F248" s="29">
        <v>15240</v>
      </c>
      <c r="G248" s="29">
        <v>61200</v>
      </c>
      <c r="H248" s="29">
        <v>58560</v>
      </c>
      <c r="I248" s="29">
        <v>21648</v>
      </c>
      <c r="J248" s="29">
        <v>55163520</v>
      </c>
      <c r="K248" s="29">
        <v>1087</v>
      </c>
      <c r="L248" s="29">
        <v>2611</v>
      </c>
      <c r="N248" s="34"/>
      <c r="O248" s="29">
        <f t="shared" si="43"/>
        <v>1849</v>
      </c>
      <c r="P248" s="32" cm="1">
        <f t="array" ref="P248">WPNFACTOR(C248)</f>
        <v>4.5</v>
      </c>
      <c r="Q248" s="34" cm="1">
        <f t="array" ref="Q248">HPFACTOr(C248)</f>
        <v>2</v>
      </c>
      <c r="R248" s="33">
        <f t="shared" si="44"/>
        <v>410.88888888888891</v>
      </c>
      <c r="S248" s="34">
        <f t="shared" si="45"/>
        <v>27581760</v>
      </c>
      <c r="T248" s="33">
        <f t="shared" si="46"/>
        <v>410.88888888888891</v>
      </c>
      <c r="U248" s="42">
        <f t="shared" si="47"/>
        <v>27581760</v>
      </c>
      <c r="V248" s="44"/>
      <c r="W248" s="29">
        <f t="shared" si="49"/>
        <v>11333038720</v>
      </c>
      <c r="X248" s="41">
        <f t="shared" si="48"/>
        <v>33.399815690746074</v>
      </c>
      <c r="Y248" s="33">
        <f t="shared" si="50"/>
        <v>326.2770996718728</v>
      </c>
      <c r="Z248" s="33">
        <v>1.33</v>
      </c>
      <c r="AA248" s="29">
        <f t="shared" si="51"/>
        <v>433.94854256359088</v>
      </c>
      <c r="AB248" s="48">
        <f t="shared" si="52"/>
        <v>2246.2019030380902</v>
      </c>
      <c r="AD248" s="47">
        <f t="shared" si="53"/>
        <v>0</v>
      </c>
    </row>
    <row r="249" spans="1:30" x14ac:dyDescent="0.2">
      <c r="A249" s="30" t="s">
        <v>8864</v>
      </c>
      <c r="B249" s="29">
        <v>8</v>
      </c>
      <c r="C249" s="29">
        <v>2</v>
      </c>
      <c r="D249" s="29">
        <v>480</v>
      </c>
      <c r="E249" s="29">
        <v>18060</v>
      </c>
      <c r="F249" s="29">
        <v>18200</v>
      </c>
      <c r="G249" s="29">
        <v>73080</v>
      </c>
      <c r="H249" s="29">
        <v>70000</v>
      </c>
      <c r="I249" s="29">
        <v>25844</v>
      </c>
      <c r="J249" s="29">
        <v>67340000</v>
      </c>
      <c r="K249" s="29">
        <v>1120</v>
      </c>
      <c r="L249" s="29">
        <v>2695</v>
      </c>
      <c r="N249" s="34"/>
      <c r="O249" s="29">
        <f t="shared" si="43"/>
        <v>1907.5</v>
      </c>
      <c r="P249" s="32" cm="1">
        <f t="array" ref="P249">WPNFACTOR(C249)</f>
        <v>4.5</v>
      </c>
      <c r="Q249" s="34" cm="1">
        <f t="array" ref="Q249">HPFACTOr(C249)</f>
        <v>2</v>
      </c>
      <c r="R249" s="33">
        <f t="shared" si="44"/>
        <v>423.88888888888891</v>
      </c>
      <c r="S249" s="34">
        <f t="shared" si="45"/>
        <v>33670000</v>
      </c>
      <c r="T249" s="33">
        <f t="shared" si="46"/>
        <v>423.88888888888891</v>
      </c>
      <c r="U249" s="42">
        <f t="shared" si="47"/>
        <v>33670000</v>
      </c>
      <c r="V249" s="44"/>
      <c r="W249" s="29">
        <f t="shared" si="49"/>
        <v>14272338888.888889</v>
      </c>
      <c r="X249" s="41">
        <f t="shared" si="48"/>
        <v>33.73250272565668</v>
      </c>
      <c r="Y249" s="33">
        <f t="shared" si="50"/>
        <v>345.63983354213201</v>
      </c>
      <c r="Z249" s="33">
        <v>1.33</v>
      </c>
      <c r="AA249" s="29">
        <f t="shared" si="51"/>
        <v>459.70097861103562</v>
      </c>
      <c r="AB249" s="48">
        <f t="shared" si="52"/>
        <v>2425.6699966909914</v>
      </c>
      <c r="AD249" s="47">
        <f t="shared" si="53"/>
        <v>0</v>
      </c>
    </row>
    <row r="250" spans="1:30" x14ac:dyDescent="0.2">
      <c r="A250" s="30" t="s">
        <v>8864</v>
      </c>
      <c r="B250" s="29">
        <v>9</v>
      </c>
      <c r="C250" s="29">
        <v>1</v>
      </c>
      <c r="D250" s="29">
        <v>490</v>
      </c>
      <c r="E250" s="29">
        <v>74200</v>
      </c>
      <c r="F250" s="29">
        <v>26012</v>
      </c>
      <c r="G250" s="29">
        <v>25837</v>
      </c>
      <c r="H250" s="29">
        <v>72240</v>
      </c>
      <c r="I250" s="29">
        <v>16254</v>
      </c>
      <c r="J250" s="29">
        <v>177349200</v>
      </c>
      <c r="K250" s="29">
        <v>553</v>
      </c>
      <c r="L250" s="29">
        <v>1188</v>
      </c>
      <c r="N250" s="34"/>
      <c r="O250" s="29">
        <f t="shared" si="43"/>
        <v>870.5</v>
      </c>
      <c r="P250" s="32" cm="1">
        <f t="array" ref="P250">WPNFACTOR(C250)</f>
        <v>2</v>
      </c>
      <c r="Q250" s="34" cm="1">
        <f t="array" ref="Q250">HPFACTOr(C250)</f>
        <v>5</v>
      </c>
      <c r="R250" s="33">
        <f t="shared" si="44"/>
        <v>435.25</v>
      </c>
      <c r="S250" s="34">
        <f t="shared" si="45"/>
        <v>35469840</v>
      </c>
      <c r="T250" s="33">
        <f t="shared" si="46"/>
        <v>435.25</v>
      </c>
      <c r="U250" s="42">
        <f t="shared" si="47"/>
        <v>35469840</v>
      </c>
      <c r="V250" s="44"/>
      <c r="W250" s="29">
        <f t="shared" si="49"/>
        <v>15438247860</v>
      </c>
      <c r="X250" s="41">
        <f t="shared" si="48"/>
        <v>33.845789974334018</v>
      </c>
      <c r="Y250" s="33">
        <f t="shared" si="50"/>
        <v>352.49219269829803</v>
      </c>
      <c r="Z250" s="33">
        <v>1.33</v>
      </c>
      <c r="AA250" s="29">
        <f t="shared" si="51"/>
        <v>468.81461628873637</v>
      </c>
      <c r="AB250" s="48">
        <f t="shared" si="52"/>
        <v>2489.9999387106659</v>
      </c>
      <c r="AD250" s="47">
        <f t="shared" si="53"/>
        <v>0</v>
      </c>
    </row>
    <row r="251" spans="1:30" x14ac:dyDescent="0.2">
      <c r="A251" s="30" t="s">
        <v>8864</v>
      </c>
      <c r="B251" s="29">
        <v>10</v>
      </c>
      <c r="C251" s="29">
        <v>3</v>
      </c>
      <c r="D251" s="29">
        <v>500</v>
      </c>
      <c r="E251" s="29">
        <v>19040</v>
      </c>
      <c r="F251" s="29">
        <v>75880</v>
      </c>
      <c r="G251" s="29">
        <v>18970</v>
      </c>
      <c r="H251" s="29">
        <v>73920</v>
      </c>
      <c r="I251" s="29">
        <v>27055</v>
      </c>
      <c r="J251" s="29">
        <v>148135680</v>
      </c>
      <c r="K251" s="29">
        <v>886</v>
      </c>
      <c r="L251" s="29">
        <v>1358</v>
      </c>
      <c r="N251" s="34"/>
      <c r="O251" s="29">
        <f t="shared" si="43"/>
        <v>1122</v>
      </c>
      <c r="P251" s="32" cm="1">
        <f t="array" ref="P251">WPNFACTOR(C251)</f>
        <v>2.5</v>
      </c>
      <c r="Q251" s="34" cm="1">
        <f t="array" ref="Q251">HPFACTOr(C251)</f>
        <v>4</v>
      </c>
      <c r="R251" s="33">
        <f t="shared" si="44"/>
        <v>448.8</v>
      </c>
      <c r="S251" s="34">
        <f t="shared" si="45"/>
        <v>37033920</v>
      </c>
      <c r="T251" s="33">
        <f t="shared" si="46"/>
        <v>448.8</v>
      </c>
      <c r="U251" s="42">
        <f t="shared" si="47"/>
        <v>37033920</v>
      </c>
      <c r="V251" s="44"/>
      <c r="W251" s="29">
        <f t="shared" si="49"/>
        <v>16620823296</v>
      </c>
      <c r="X251" s="41">
        <f t="shared" si="48"/>
        <v>33.952272795220061</v>
      </c>
      <c r="Y251" s="33">
        <f t="shared" si="50"/>
        <v>359.05678102700386</v>
      </c>
      <c r="Z251" s="33">
        <v>1.33</v>
      </c>
      <c r="AA251" s="29">
        <f t="shared" si="51"/>
        <v>477.54551876591518</v>
      </c>
      <c r="AB251" s="48">
        <f t="shared" si="52"/>
        <v>2552.0206102180114</v>
      </c>
      <c r="AD251" s="47">
        <f t="shared" si="53"/>
        <v>0</v>
      </c>
    </row>
    <row r="252" spans="1:30" x14ac:dyDescent="0.2">
      <c r="A252" s="30" t="s">
        <v>8865</v>
      </c>
      <c r="B252" s="29">
        <v>1</v>
      </c>
      <c r="C252" s="29">
        <v>2</v>
      </c>
      <c r="D252" s="29">
        <v>325</v>
      </c>
      <c r="E252" s="29">
        <v>3221</v>
      </c>
      <c r="F252" s="29">
        <v>3221</v>
      </c>
      <c r="G252" s="29">
        <v>16577</v>
      </c>
      <c r="H252" s="29">
        <v>61790</v>
      </c>
      <c r="I252" s="29">
        <v>8964</v>
      </c>
      <c r="J252" s="29">
        <v>64459324</v>
      </c>
      <c r="K252" s="29">
        <v>861</v>
      </c>
      <c r="L252" s="29">
        <v>2432</v>
      </c>
      <c r="N252" s="34"/>
      <c r="O252" s="29">
        <f t="shared" si="43"/>
        <v>1646.5</v>
      </c>
      <c r="P252" s="32" cm="1">
        <f t="array" ref="P252">WPNFACTOR(C252)</f>
        <v>4.5</v>
      </c>
      <c r="Q252" s="34" cm="1">
        <f t="array" ref="Q252">HPFACTOr(C252)</f>
        <v>2</v>
      </c>
      <c r="R252" s="33">
        <f t="shared" si="44"/>
        <v>365.88888888888891</v>
      </c>
      <c r="S252" s="34">
        <f t="shared" si="45"/>
        <v>32229662</v>
      </c>
      <c r="T252" s="33">
        <f t="shared" si="46"/>
        <v>365.88888888888891</v>
      </c>
      <c r="U252" s="42">
        <f t="shared" si="47"/>
        <v>32229662</v>
      </c>
      <c r="V252" s="44"/>
      <c r="W252" s="29">
        <f t="shared" si="49"/>
        <v>11792475218.444445</v>
      </c>
      <c r="X252" s="41">
        <f t="shared" si="48"/>
        <v>33.457147517961197</v>
      </c>
      <c r="Y252" s="33">
        <f t="shared" si="50"/>
        <v>329.53476868759873</v>
      </c>
      <c r="Z252" s="33">
        <v>1.33</v>
      </c>
      <c r="AA252" s="29">
        <f t="shared" si="51"/>
        <v>438.28124235450633</v>
      </c>
      <c r="AB252" s="48">
        <f t="shared" si="52"/>
        <v>2276.1540797288367</v>
      </c>
      <c r="AD252" s="47">
        <f t="shared" si="53"/>
        <v>0</v>
      </c>
    </row>
    <row r="253" spans="1:30" x14ac:dyDescent="0.2">
      <c r="A253" s="30" t="s">
        <v>8865</v>
      </c>
      <c r="B253" s="29">
        <v>2</v>
      </c>
      <c r="C253" s="29">
        <v>2</v>
      </c>
      <c r="D253" s="29">
        <v>332</v>
      </c>
      <c r="E253" s="29">
        <v>6128</v>
      </c>
      <c r="F253" s="29">
        <v>6057</v>
      </c>
      <c r="G253" s="29">
        <v>17028</v>
      </c>
      <c r="H253" s="29">
        <v>76695</v>
      </c>
      <c r="I253" s="29">
        <v>10905</v>
      </c>
      <c r="J253" s="29">
        <v>83003160</v>
      </c>
      <c r="K253" s="29">
        <v>1291</v>
      </c>
      <c r="L253" s="29">
        <v>2100</v>
      </c>
      <c r="N253" s="34"/>
      <c r="O253" s="29">
        <f t="shared" si="43"/>
        <v>1695.5</v>
      </c>
      <c r="P253" s="32" cm="1">
        <f t="array" ref="P253">WPNFACTOR(C253)</f>
        <v>4.5</v>
      </c>
      <c r="Q253" s="34" cm="1">
        <f t="array" ref="Q253">HPFACTOr(C253)</f>
        <v>2</v>
      </c>
      <c r="R253" s="33">
        <f t="shared" si="44"/>
        <v>376.77777777777777</v>
      </c>
      <c r="S253" s="34">
        <f t="shared" si="45"/>
        <v>41501580</v>
      </c>
      <c r="T253" s="33">
        <f t="shared" si="46"/>
        <v>376.77777777777777</v>
      </c>
      <c r="U253" s="42">
        <f t="shared" si="47"/>
        <v>41501580</v>
      </c>
      <c r="V253" s="44"/>
      <c r="W253" s="29">
        <f t="shared" si="49"/>
        <v>15636873086.666666</v>
      </c>
      <c r="X253" s="41">
        <f t="shared" si="48"/>
        <v>33.864232993911415</v>
      </c>
      <c r="Y253" s="33">
        <f t="shared" si="50"/>
        <v>353.62053578377055</v>
      </c>
      <c r="Z253" s="33">
        <v>1.33</v>
      </c>
      <c r="AA253" s="29">
        <f t="shared" si="51"/>
        <v>470.31531259241484</v>
      </c>
      <c r="AB253" s="48">
        <f t="shared" si="52"/>
        <v>2500.6330709638178</v>
      </c>
      <c r="AD253" s="47">
        <f t="shared" si="53"/>
        <v>0</v>
      </c>
    </row>
    <row r="254" spans="1:30" x14ac:dyDescent="0.2">
      <c r="A254" s="30" t="s">
        <v>8865</v>
      </c>
      <c r="B254" s="29">
        <v>3</v>
      </c>
      <c r="C254" s="29">
        <v>2</v>
      </c>
      <c r="D254" s="29">
        <v>340</v>
      </c>
      <c r="E254" s="29">
        <v>5151</v>
      </c>
      <c r="F254" s="29">
        <v>5237</v>
      </c>
      <c r="G254" s="29">
        <v>18553</v>
      </c>
      <c r="H254" s="29">
        <v>79880</v>
      </c>
      <c r="I254" s="29">
        <v>12130</v>
      </c>
      <c r="J254" s="29">
        <v>90152560</v>
      </c>
      <c r="K254" s="29">
        <v>992</v>
      </c>
      <c r="L254" s="29">
        <v>2507</v>
      </c>
      <c r="N254" s="34"/>
      <c r="O254" s="29">
        <f t="shared" si="43"/>
        <v>1749.5</v>
      </c>
      <c r="P254" s="32" cm="1">
        <f t="array" ref="P254">WPNFACTOR(C254)</f>
        <v>4.5</v>
      </c>
      <c r="Q254" s="34" cm="1">
        <f t="array" ref="Q254">HPFACTOr(C254)</f>
        <v>2</v>
      </c>
      <c r="R254" s="33">
        <f t="shared" si="44"/>
        <v>388.77777777777777</v>
      </c>
      <c r="S254" s="34">
        <f t="shared" si="45"/>
        <v>45076280</v>
      </c>
      <c r="T254" s="33">
        <f t="shared" si="46"/>
        <v>388.77777777777777</v>
      </c>
      <c r="U254" s="42">
        <f t="shared" si="47"/>
        <v>45076280</v>
      </c>
      <c r="V254" s="44"/>
      <c r="W254" s="29">
        <f t="shared" si="49"/>
        <v>17524655968.888889</v>
      </c>
      <c r="X254" s="41">
        <f t="shared" si="48"/>
        <v>34.028667071463325</v>
      </c>
      <c r="Y254" s="33">
        <f t="shared" si="50"/>
        <v>363.84161877771328</v>
      </c>
      <c r="Z254" s="33">
        <v>1.33</v>
      </c>
      <c r="AA254" s="29">
        <f t="shared" si="51"/>
        <v>483.90935297435868</v>
      </c>
      <c r="AB254" s="48">
        <f t="shared" si="52"/>
        <v>2597.4657737279413</v>
      </c>
      <c r="AD254" s="47">
        <f t="shared" si="53"/>
        <v>0</v>
      </c>
    </row>
    <row r="255" spans="1:30" x14ac:dyDescent="0.2">
      <c r="A255" s="30" t="s">
        <v>8865</v>
      </c>
      <c r="B255" s="29">
        <v>4</v>
      </c>
      <c r="C255" s="29">
        <v>3</v>
      </c>
      <c r="D255" s="29">
        <v>347</v>
      </c>
      <c r="E255" s="29">
        <v>5875</v>
      </c>
      <c r="F255" s="29">
        <v>20170</v>
      </c>
      <c r="G255" s="29">
        <v>5870</v>
      </c>
      <c r="H255" s="29">
        <v>72300</v>
      </c>
      <c r="I255" s="29">
        <v>9320</v>
      </c>
      <c r="J255" s="29">
        <v>168640000</v>
      </c>
      <c r="K255" s="29">
        <v>540</v>
      </c>
      <c r="L255" s="29">
        <v>1439</v>
      </c>
      <c r="N255" s="34"/>
      <c r="O255" s="29">
        <f t="shared" si="43"/>
        <v>989.5</v>
      </c>
      <c r="P255" s="32" cm="1">
        <f t="array" ref="P255">WPNFACTOR(C255)</f>
        <v>2.5</v>
      </c>
      <c r="Q255" s="34" cm="1">
        <f t="array" ref="Q255">HPFACTOr(C255)</f>
        <v>4</v>
      </c>
      <c r="R255" s="33">
        <f t="shared" si="44"/>
        <v>395.8</v>
      </c>
      <c r="S255" s="34">
        <f t="shared" si="45"/>
        <v>42160000</v>
      </c>
      <c r="T255" s="33">
        <f t="shared" si="46"/>
        <v>395.8</v>
      </c>
      <c r="U255" s="42">
        <f t="shared" si="47"/>
        <v>42160000</v>
      </c>
      <c r="V255" s="44"/>
      <c r="W255" s="29">
        <f t="shared" si="49"/>
        <v>16686928000</v>
      </c>
      <c r="X255" s="41">
        <f t="shared" si="48"/>
        <v>33.95799933334682</v>
      </c>
      <c r="Y255" s="33">
        <f t="shared" si="50"/>
        <v>359.41326192210357</v>
      </c>
      <c r="Z255" s="33">
        <v>1.33</v>
      </c>
      <c r="AA255" s="29">
        <f t="shared" si="51"/>
        <v>478.01963835639776</v>
      </c>
      <c r="AB255" s="48">
        <f t="shared" si="52"/>
        <v>2555.3994522025209</v>
      </c>
      <c r="AD255" s="47">
        <f t="shared" si="53"/>
        <v>0</v>
      </c>
    </row>
    <row r="256" spans="1:30" x14ac:dyDescent="0.2">
      <c r="A256" s="30" t="s">
        <v>8865</v>
      </c>
      <c r="B256" s="29">
        <v>5</v>
      </c>
      <c r="C256" s="29">
        <v>2</v>
      </c>
      <c r="D256" s="29">
        <v>355</v>
      </c>
      <c r="E256" s="29">
        <v>5650</v>
      </c>
      <c r="F256" s="29">
        <v>5744</v>
      </c>
      <c r="G256" s="29">
        <v>19876</v>
      </c>
      <c r="H256" s="29">
        <v>86520</v>
      </c>
      <c r="I256" s="29">
        <v>12519</v>
      </c>
      <c r="J256" s="29">
        <v>104723808</v>
      </c>
      <c r="K256" s="29">
        <v>1557</v>
      </c>
      <c r="L256" s="29">
        <v>2132</v>
      </c>
      <c r="N256" s="34"/>
      <c r="O256" s="29">
        <f t="shared" si="43"/>
        <v>1844.5</v>
      </c>
      <c r="P256" s="32" cm="1">
        <f t="array" ref="P256">WPNFACTOR(C256)</f>
        <v>4.5</v>
      </c>
      <c r="Q256" s="34" cm="1">
        <f t="array" ref="Q256">HPFACTOr(C256)</f>
        <v>2</v>
      </c>
      <c r="R256" s="33">
        <f t="shared" si="44"/>
        <v>409.88888888888891</v>
      </c>
      <c r="S256" s="34">
        <f t="shared" si="45"/>
        <v>52361904</v>
      </c>
      <c r="T256" s="33">
        <f t="shared" si="46"/>
        <v>409.88888888888891</v>
      </c>
      <c r="U256" s="42">
        <f t="shared" si="47"/>
        <v>52361904</v>
      </c>
      <c r="V256" s="44"/>
      <c r="W256" s="29">
        <f t="shared" si="49"/>
        <v>21462562650.666668</v>
      </c>
      <c r="X256" s="41">
        <f t="shared" si="48"/>
        <v>34.321103294431218</v>
      </c>
      <c r="Y256" s="33">
        <f t="shared" si="50"/>
        <v>382.75457810878703</v>
      </c>
      <c r="Z256" s="33">
        <v>1.33</v>
      </c>
      <c r="AA256" s="29">
        <f t="shared" si="51"/>
        <v>509.06358888468679</v>
      </c>
      <c r="AB256" s="48">
        <f t="shared" si="52"/>
        <v>2779.0339901699631</v>
      </c>
      <c r="AD256" s="47">
        <f t="shared" si="53"/>
        <v>0</v>
      </c>
    </row>
    <row r="257" spans="1:30" x14ac:dyDescent="0.2">
      <c r="A257" s="30" t="s">
        <v>8865</v>
      </c>
      <c r="B257" s="29">
        <v>6</v>
      </c>
      <c r="C257" s="29">
        <v>1</v>
      </c>
      <c r="D257" s="29">
        <v>362</v>
      </c>
      <c r="E257" s="29">
        <v>19163</v>
      </c>
      <c r="F257" s="29">
        <v>9228</v>
      </c>
      <c r="G257" s="29">
        <v>9077</v>
      </c>
      <c r="H257" s="29">
        <v>96410</v>
      </c>
      <c r="I257" s="29">
        <v>13359</v>
      </c>
      <c r="J257" s="29">
        <v>306222272</v>
      </c>
      <c r="K257" s="29">
        <v>490</v>
      </c>
      <c r="L257" s="29">
        <v>1181</v>
      </c>
      <c r="N257" s="34"/>
      <c r="O257" s="29">
        <f t="shared" si="43"/>
        <v>835.5</v>
      </c>
      <c r="P257" s="32" cm="1">
        <f t="array" ref="P257">WPNFACTOR(C257)</f>
        <v>2</v>
      </c>
      <c r="Q257" s="34" cm="1">
        <f t="array" ref="Q257">HPFACTOr(C257)</f>
        <v>5</v>
      </c>
      <c r="R257" s="33">
        <f t="shared" si="44"/>
        <v>417.75</v>
      </c>
      <c r="S257" s="34">
        <f t="shared" si="45"/>
        <v>61244454.399999999</v>
      </c>
      <c r="T257" s="33">
        <f t="shared" si="46"/>
        <v>417.75</v>
      </c>
      <c r="U257" s="42">
        <f t="shared" si="47"/>
        <v>61244454.399999999</v>
      </c>
      <c r="V257" s="44"/>
      <c r="W257" s="29">
        <f t="shared" si="49"/>
        <v>25584870825.599998</v>
      </c>
      <c r="X257" s="41">
        <f t="shared" si="48"/>
        <v>34.574571898276425</v>
      </c>
      <c r="Y257" s="33">
        <f t="shared" si="50"/>
        <v>399.94088856068242</v>
      </c>
      <c r="Z257" s="33">
        <v>1.33</v>
      </c>
      <c r="AA257" s="29">
        <f t="shared" si="51"/>
        <v>531.92138178570769</v>
      </c>
      <c r="AB257" s="48">
        <f t="shared" si="52"/>
        <v>2946.6444974706696</v>
      </c>
      <c r="AD257" s="47">
        <f t="shared" si="53"/>
        <v>0</v>
      </c>
    </row>
    <row r="258" spans="1:30" x14ac:dyDescent="0.2">
      <c r="A258" s="30" t="s">
        <v>8865</v>
      </c>
      <c r="B258" s="29">
        <v>7</v>
      </c>
      <c r="C258" s="29">
        <v>2</v>
      </c>
      <c r="D258" s="29">
        <v>370</v>
      </c>
      <c r="E258" s="29">
        <v>7773</v>
      </c>
      <c r="F258" s="29">
        <v>7772</v>
      </c>
      <c r="G258" s="29">
        <v>19358</v>
      </c>
      <c r="H258" s="29">
        <v>91315</v>
      </c>
      <c r="I258" s="29">
        <v>13191</v>
      </c>
      <c r="J258" s="29">
        <v>116878632</v>
      </c>
      <c r="K258" s="29">
        <v>1451</v>
      </c>
      <c r="L258" s="29">
        <v>2356</v>
      </c>
      <c r="N258" s="34"/>
      <c r="O258" s="29">
        <f t="shared" si="43"/>
        <v>1903.5</v>
      </c>
      <c r="P258" s="32" cm="1">
        <f t="array" ref="P258">WPNFACTOR(C258)</f>
        <v>4.5</v>
      </c>
      <c r="Q258" s="34" cm="1">
        <f t="array" ref="Q258">HPFACTOr(C258)</f>
        <v>2</v>
      </c>
      <c r="R258" s="33">
        <f t="shared" si="44"/>
        <v>423</v>
      </c>
      <c r="S258" s="34">
        <f t="shared" si="45"/>
        <v>58439316</v>
      </c>
      <c r="T258" s="33">
        <f t="shared" si="46"/>
        <v>423</v>
      </c>
      <c r="U258" s="42">
        <f t="shared" si="47"/>
        <v>58439316</v>
      </c>
      <c r="V258" s="44"/>
      <c r="W258" s="29">
        <f t="shared" si="49"/>
        <v>24719830668</v>
      </c>
      <c r="X258" s="41">
        <f t="shared" si="48"/>
        <v>34.524949809621035</v>
      </c>
      <c r="Y258" s="33">
        <f t="shared" si="50"/>
        <v>396.51659934542528</v>
      </c>
      <c r="Z258" s="33">
        <v>1.33</v>
      </c>
      <c r="AA258" s="29">
        <f t="shared" si="51"/>
        <v>527.36707712941563</v>
      </c>
      <c r="AB258" s="48">
        <f t="shared" si="52"/>
        <v>2913.0537440195212</v>
      </c>
      <c r="AD258" s="47">
        <f t="shared" si="53"/>
        <v>0</v>
      </c>
    </row>
    <row r="259" spans="1:30" x14ac:dyDescent="0.2">
      <c r="A259" s="30" t="s">
        <v>8865</v>
      </c>
      <c r="B259" s="29">
        <v>8</v>
      </c>
      <c r="C259" s="29">
        <v>2</v>
      </c>
      <c r="D259" s="29">
        <v>377</v>
      </c>
      <c r="E259" s="29">
        <v>5774</v>
      </c>
      <c r="F259" s="29">
        <v>5775</v>
      </c>
      <c r="G259" s="29">
        <v>24520</v>
      </c>
      <c r="H259" s="29">
        <v>96430</v>
      </c>
      <c r="I259" s="29">
        <v>13751</v>
      </c>
      <c r="J259" s="29">
        <v>125754360</v>
      </c>
      <c r="K259" s="29">
        <v>1592</v>
      </c>
      <c r="L259" s="29">
        <v>2385</v>
      </c>
      <c r="N259" s="34"/>
      <c r="O259" s="29">
        <f t="shared" ref="O259:O422" si="54">AVERAGE(K259, L259)</f>
        <v>1988.5</v>
      </c>
      <c r="P259" s="32" cm="1">
        <f t="array" ref="P259">WPNFACTOR(C259)</f>
        <v>4.5</v>
      </c>
      <c r="Q259" s="34" cm="1">
        <f t="array" ref="Q259">HPFACTOr(C259)</f>
        <v>2</v>
      </c>
      <c r="R259" s="33">
        <f t="shared" ref="R259:R422" si="55">O259/P259</f>
        <v>441.88888888888891</v>
      </c>
      <c r="S259" s="34">
        <f t="shared" ref="S259:S422" si="56">J259/Q259</f>
        <v>62877180</v>
      </c>
      <c r="T259" s="33">
        <f t="shared" ref="T259:T422" si="57">R259*(1 + (N259/400))</f>
        <v>441.88888888888891</v>
      </c>
      <c r="U259" s="42">
        <f t="shared" ref="U259:U422" si="58">S259*1.6/(1 + (0.6*(1 - (M259/100))))</f>
        <v>62877180</v>
      </c>
      <c r="V259" s="44"/>
      <c r="W259" s="29">
        <f t="shared" si="49"/>
        <v>27784727206.666668</v>
      </c>
      <c r="X259" s="41">
        <f t="shared" ref="X259:X422" si="59">LOG(W259, 2)</f>
        <v>34.693573024702026</v>
      </c>
      <c r="Y259" s="33">
        <f t="shared" si="50"/>
        <v>408.27382190086996</v>
      </c>
      <c r="Z259" s="33">
        <v>1.33</v>
      </c>
      <c r="AA259" s="29">
        <f t="shared" si="51"/>
        <v>543.00418312815702</v>
      </c>
      <c r="AB259" s="48">
        <f t="shared" si="52"/>
        <v>3028.7868593349831</v>
      </c>
      <c r="AD259" s="47">
        <f t="shared" si="53"/>
        <v>0</v>
      </c>
    </row>
    <row r="260" spans="1:30" x14ac:dyDescent="0.2">
      <c r="A260" s="30" t="s">
        <v>8865</v>
      </c>
      <c r="B260" s="29">
        <v>9</v>
      </c>
      <c r="C260" s="29">
        <v>3</v>
      </c>
      <c r="D260" s="29">
        <v>385</v>
      </c>
      <c r="E260" s="29">
        <v>12400</v>
      </c>
      <c r="F260" s="29">
        <v>29300</v>
      </c>
      <c r="G260" s="29">
        <v>12600</v>
      </c>
      <c r="H260" s="29">
        <v>130350</v>
      </c>
      <c r="I260" s="29">
        <v>18640</v>
      </c>
      <c r="J260" s="29">
        <v>379430016</v>
      </c>
      <c r="K260" s="29">
        <v>848</v>
      </c>
      <c r="L260" s="29">
        <v>2091</v>
      </c>
      <c r="N260" s="34"/>
      <c r="O260" s="29">
        <f t="shared" si="54"/>
        <v>1469.5</v>
      </c>
      <c r="P260" s="32" cm="1">
        <f t="array" ref="P260">WPNFACTOR(C260)</f>
        <v>2.5</v>
      </c>
      <c r="Q260" s="34" cm="1">
        <f t="array" ref="Q260">HPFACTOr(C260)</f>
        <v>4</v>
      </c>
      <c r="R260" s="33">
        <f t="shared" si="55"/>
        <v>587.79999999999995</v>
      </c>
      <c r="S260" s="34">
        <f t="shared" si="56"/>
        <v>94857504</v>
      </c>
      <c r="T260" s="33">
        <f t="shared" si="57"/>
        <v>587.79999999999995</v>
      </c>
      <c r="U260" s="42">
        <f t="shared" si="58"/>
        <v>94857504</v>
      </c>
      <c r="V260" s="44"/>
      <c r="W260" s="29">
        <f t="shared" ref="W260:W406" si="60">T260*U260</f>
        <v>55757240851.199997</v>
      </c>
      <c r="X260" s="41">
        <f t="shared" si="59"/>
        <v>35.69844012003729</v>
      </c>
      <c r="Y260" s="33">
        <f t="shared" ref="Y260:Y423" si="61">POWER(W260, 1/4)</f>
        <v>485.93179760078436</v>
      </c>
      <c r="Z260" s="33">
        <v>1.33</v>
      </c>
      <c r="AA260" s="29">
        <f t="shared" ref="AA260:AA423" si="62">Y260*Z260</f>
        <v>646.28929080904322</v>
      </c>
      <c r="AB260" s="48">
        <f t="shared" ref="AB260:AB423" si="63">POWER(W260, 1/$AB$1)</f>
        <v>3820.3260060761527</v>
      </c>
      <c r="AD260" s="47">
        <f t="shared" ref="AD260:AD423" si="64">IF(AC260 = "", ,AC260/AB260)</f>
        <v>0</v>
      </c>
    </row>
    <row r="261" spans="1:30" x14ac:dyDescent="0.2">
      <c r="A261" s="30" t="s">
        <v>8865</v>
      </c>
      <c r="B261" s="29">
        <v>10</v>
      </c>
      <c r="C261" s="29">
        <v>2</v>
      </c>
      <c r="D261" s="29">
        <v>400</v>
      </c>
      <c r="E261" s="29">
        <v>8447</v>
      </c>
      <c r="F261" s="29">
        <v>8378</v>
      </c>
      <c r="G261" s="29">
        <v>30585</v>
      </c>
      <c r="H261" s="29">
        <v>126470</v>
      </c>
      <c r="I261" s="29">
        <v>18375</v>
      </c>
      <c r="J261" s="29">
        <v>190324704</v>
      </c>
      <c r="K261" s="29">
        <v>1912</v>
      </c>
      <c r="L261" s="29">
        <v>2949</v>
      </c>
      <c r="N261" s="34"/>
      <c r="O261" s="29">
        <f t="shared" si="54"/>
        <v>2430.5</v>
      </c>
      <c r="P261" s="32" cm="1">
        <f t="array" ref="P261">WPNFACTOR(C261)</f>
        <v>4.5</v>
      </c>
      <c r="Q261" s="34" cm="1">
        <f t="array" ref="Q261">HPFACTOr(C261)</f>
        <v>2</v>
      </c>
      <c r="R261" s="33">
        <f t="shared" si="55"/>
        <v>540.11111111111109</v>
      </c>
      <c r="S261" s="34">
        <f t="shared" si="56"/>
        <v>95162352</v>
      </c>
      <c r="T261" s="33">
        <f t="shared" si="57"/>
        <v>540.11111111111109</v>
      </c>
      <c r="U261" s="42">
        <f t="shared" si="58"/>
        <v>95162352</v>
      </c>
      <c r="V261" s="44"/>
      <c r="W261" s="29">
        <f t="shared" si="60"/>
        <v>51398243674.666664</v>
      </c>
      <c r="X261" s="41">
        <f t="shared" si="59"/>
        <v>35.581000010916519</v>
      </c>
      <c r="Y261" s="33">
        <f t="shared" si="61"/>
        <v>476.14263360103502</v>
      </c>
      <c r="Z261" s="33">
        <v>1.33</v>
      </c>
      <c r="AA261" s="29">
        <f t="shared" si="62"/>
        <v>633.26970268937657</v>
      </c>
      <c r="AB261" s="48">
        <f t="shared" si="63"/>
        <v>3718.0574239941984</v>
      </c>
      <c r="AD261" s="47">
        <f t="shared" si="64"/>
        <v>0</v>
      </c>
    </row>
    <row r="262" spans="1:30" x14ac:dyDescent="0.2">
      <c r="A262" s="30" t="s">
        <v>8866</v>
      </c>
      <c r="B262" s="29">
        <v>1</v>
      </c>
      <c r="C262" s="29">
        <v>5</v>
      </c>
      <c r="D262" s="29">
        <v>348</v>
      </c>
      <c r="E262" s="29">
        <v>17737</v>
      </c>
      <c r="F262" s="29">
        <v>3446</v>
      </c>
      <c r="G262" s="29">
        <v>3446</v>
      </c>
      <c r="H262" s="29">
        <v>66115</v>
      </c>
      <c r="I262" s="29">
        <v>9591</v>
      </c>
      <c r="J262" s="29">
        <v>115370672</v>
      </c>
      <c r="K262" s="29">
        <v>1187</v>
      </c>
      <c r="L262" s="29">
        <v>2007</v>
      </c>
      <c r="N262" s="34"/>
      <c r="O262" s="29">
        <f t="shared" si="54"/>
        <v>1597</v>
      </c>
      <c r="P262" s="32" cm="1">
        <f t="array" ref="P262">WPNFACTOR(C262)</f>
        <v>2</v>
      </c>
      <c r="Q262" s="34" cm="1">
        <f t="array" ref="Q262">HPFACTOr(C262)</f>
        <v>5</v>
      </c>
      <c r="R262" s="33">
        <f t="shared" si="55"/>
        <v>798.5</v>
      </c>
      <c r="S262" s="34">
        <f t="shared" si="56"/>
        <v>23074134.399999999</v>
      </c>
      <c r="T262" s="33">
        <f t="shared" si="57"/>
        <v>798.5</v>
      </c>
      <c r="U262" s="42">
        <f t="shared" si="58"/>
        <v>23074134.399999999</v>
      </c>
      <c r="V262" s="44"/>
      <c r="W262" s="29">
        <f t="shared" si="60"/>
        <v>18424696318.399998</v>
      </c>
      <c r="X262" s="41">
        <f t="shared" si="59"/>
        <v>34.100921789439617</v>
      </c>
      <c r="Y262" s="33">
        <f t="shared" si="61"/>
        <v>368.42584189334775</v>
      </c>
      <c r="Z262" s="33">
        <v>1.33</v>
      </c>
      <c r="AA262" s="29">
        <f t="shared" si="62"/>
        <v>490.00636971815254</v>
      </c>
      <c r="AB262" s="48">
        <f t="shared" si="63"/>
        <v>2641.1928492987768</v>
      </c>
      <c r="AD262" s="47">
        <f t="shared" si="64"/>
        <v>0</v>
      </c>
    </row>
    <row r="263" spans="1:30" x14ac:dyDescent="0.2">
      <c r="A263" s="30" t="s">
        <v>8866</v>
      </c>
      <c r="B263" s="29">
        <v>2</v>
      </c>
      <c r="C263" s="29">
        <v>1</v>
      </c>
      <c r="D263" s="29">
        <v>362</v>
      </c>
      <c r="E263" s="29">
        <v>18561</v>
      </c>
      <c r="F263" s="29">
        <v>6602</v>
      </c>
      <c r="G263" s="29">
        <v>6602</v>
      </c>
      <c r="H263" s="29">
        <v>83598</v>
      </c>
      <c r="I263" s="29">
        <v>11886</v>
      </c>
      <c r="J263" s="29">
        <v>151730368</v>
      </c>
      <c r="K263" s="29">
        <v>1234</v>
      </c>
      <c r="L263" s="29">
        <v>2087</v>
      </c>
      <c r="N263" s="34"/>
      <c r="O263" s="29">
        <f t="shared" si="54"/>
        <v>1660.5</v>
      </c>
      <c r="P263" s="32" cm="1">
        <f t="array" ref="P263">WPNFACTOR(C263)</f>
        <v>2</v>
      </c>
      <c r="Q263" s="34" cm="1">
        <f t="array" ref="Q263">HPFACTOr(C263)</f>
        <v>5</v>
      </c>
      <c r="R263" s="33">
        <f t="shared" si="55"/>
        <v>830.25</v>
      </c>
      <c r="S263" s="34">
        <f t="shared" si="56"/>
        <v>30346073.600000001</v>
      </c>
      <c r="T263" s="33">
        <f t="shared" si="57"/>
        <v>830.25</v>
      </c>
      <c r="U263" s="42">
        <f t="shared" si="58"/>
        <v>30346073.600000001</v>
      </c>
      <c r="V263" s="44"/>
      <c r="W263" s="29">
        <f t="shared" si="60"/>
        <v>25194827606.400002</v>
      </c>
      <c r="X263" s="41">
        <f t="shared" si="59"/>
        <v>34.552408533689224</v>
      </c>
      <c r="Y263" s="33">
        <f t="shared" si="61"/>
        <v>398.40781407912476</v>
      </c>
      <c r="Z263" s="33">
        <v>1.33</v>
      </c>
      <c r="AA263" s="29">
        <f t="shared" si="62"/>
        <v>529.88239272523595</v>
      </c>
      <c r="AB263" s="48">
        <f t="shared" si="63"/>
        <v>2931.5938167998966</v>
      </c>
      <c r="AD263" s="47">
        <f t="shared" si="64"/>
        <v>0</v>
      </c>
    </row>
    <row r="264" spans="1:30" x14ac:dyDescent="0.2">
      <c r="A264" s="30" t="s">
        <v>8866</v>
      </c>
      <c r="B264" s="29">
        <v>3</v>
      </c>
      <c r="C264" s="29">
        <v>2</v>
      </c>
      <c r="D264" s="29">
        <v>377</v>
      </c>
      <c r="E264" s="29">
        <v>5718</v>
      </c>
      <c r="F264" s="29">
        <v>5813</v>
      </c>
      <c r="G264" s="29">
        <v>20594</v>
      </c>
      <c r="H264" s="29">
        <v>88667</v>
      </c>
      <c r="I264" s="29">
        <v>13464</v>
      </c>
      <c r="J264" s="29">
        <v>67032252</v>
      </c>
      <c r="K264" s="29">
        <v>2895</v>
      </c>
      <c r="L264" s="29">
        <v>4886</v>
      </c>
      <c r="N264" s="34"/>
      <c r="O264" s="29">
        <f t="shared" si="54"/>
        <v>3890.5</v>
      </c>
      <c r="P264" s="32" cm="1">
        <f t="array" ref="P264">WPNFACTOR(C264)</f>
        <v>4.5</v>
      </c>
      <c r="Q264" s="34" cm="1">
        <f t="array" ref="Q264">HPFACTOr(C264)</f>
        <v>2</v>
      </c>
      <c r="R264" s="33">
        <f t="shared" si="55"/>
        <v>864.55555555555554</v>
      </c>
      <c r="S264" s="34">
        <f t="shared" si="56"/>
        <v>33516126</v>
      </c>
      <c r="T264" s="33">
        <f t="shared" si="57"/>
        <v>864.55555555555554</v>
      </c>
      <c r="U264" s="42">
        <f t="shared" si="58"/>
        <v>33516126</v>
      </c>
      <c r="V264" s="44"/>
      <c r="W264" s="29">
        <f t="shared" si="60"/>
        <v>28976552934</v>
      </c>
      <c r="X264" s="41">
        <f t="shared" si="59"/>
        <v>34.754166930213898</v>
      </c>
      <c r="Y264" s="33">
        <f t="shared" si="61"/>
        <v>412.58333313671284</v>
      </c>
      <c r="Z264" s="33">
        <v>1.33</v>
      </c>
      <c r="AA264" s="29">
        <f t="shared" si="62"/>
        <v>548.7358330718281</v>
      </c>
      <c r="AB264" s="48">
        <f t="shared" si="63"/>
        <v>3071.488593059401</v>
      </c>
      <c r="AD264" s="47">
        <f t="shared" si="64"/>
        <v>0</v>
      </c>
    </row>
    <row r="265" spans="1:30" x14ac:dyDescent="0.2">
      <c r="A265" s="30" t="s">
        <v>8866</v>
      </c>
      <c r="B265" s="29">
        <v>4</v>
      </c>
      <c r="C265" s="29">
        <v>4</v>
      </c>
      <c r="D265" s="29">
        <v>392</v>
      </c>
      <c r="E265" s="29">
        <v>6639</v>
      </c>
      <c r="F265" s="29">
        <v>22792</v>
      </c>
      <c r="G265" s="29">
        <v>6633</v>
      </c>
      <c r="H265" s="29">
        <v>81699</v>
      </c>
      <c r="I265" s="29">
        <v>10532</v>
      </c>
      <c r="J265" s="29">
        <v>128430832</v>
      </c>
      <c r="K265" s="29">
        <v>2673</v>
      </c>
      <c r="L265" s="29">
        <v>4514</v>
      </c>
      <c r="N265" s="34"/>
      <c r="O265" s="29">
        <f t="shared" si="54"/>
        <v>3593.5</v>
      </c>
      <c r="P265" s="32" cm="1">
        <f t="array" ref="P265">WPNFACTOR(C265)</f>
        <v>4</v>
      </c>
      <c r="Q265" s="34" cm="1">
        <f t="array" ref="Q265">HPFACTOr(C265)</f>
        <v>4</v>
      </c>
      <c r="R265" s="33">
        <f t="shared" si="55"/>
        <v>898.375</v>
      </c>
      <c r="S265" s="34">
        <f t="shared" si="56"/>
        <v>32107708</v>
      </c>
      <c r="T265" s="33">
        <f t="shared" si="57"/>
        <v>898.375</v>
      </c>
      <c r="U265" s="42">
        <f t="shared" si="58"/>
        <v>32107708</v>
      </c>
      <c r="V265" s="44"/>
      <c r="W265" s="29">
        <f t="shared" si="60"/>
        <v>28844762174.5</v>
      </c>
      <c r="X265" s="41">
        <f t="shared" si="59"/>
        <v>34.747590317279219</v>
      </c>
      <c r="Y265" s="33">
        <f t="shared" si="61"/>
        <v>412.1134044190469</v>
      </c>
      <c r="Z265" s="33">
        <v>1.33</v>
      </c>
      <c r="AA265" s="29">
        <f t="shared" si="62"/>
        <v>548.11082787733244</v>
      </c>
      <c r="AB265" s="48">
        <f t="shared" si="63"/>
        <v>3066.8249481309349</v>
      </c>
      <c r="AD265" s="47">
        <f t="shared" si="64"/>
        <v>0</v>
      </c>
    </row>
    <row r="266" spans="1:30" x14ac:dyDescent="0.2">
      <c r="A266" s="30" t="s">
        <v>8866</v>
      </c>
      <c r="B266" s="29">
        <v>5</v>
      </c>
      <c r="C266" s="29">
        <v>2</v>
      </c>
      <c r="D266" s="29">
        <v>408</v>
      </c>
      <c r="E266" s="29">
        <v>6497</v>
      </c>
      <c r="F266" s="29">
        <v>6606</v>
      </c>
      <c r="G266" s="29">
        <v>22857</v>
      </c>
      <c r="H266" s="29">
        <v>99498</v>
      </c>
      <c r="I266" s="29">
        <v>14397</v>
      </c>
      <c r="J266" s="29">
        <v>81389360</v>
      </c>
      <c r="K266" s="29">
        <v>3130</v>
      </c>
      <c r="L266" s="29">
        <v>5286</v>
      </c>
      <c r="N266" s="34"/>
      <c r="O266" s="29">
        <f t="shared" si="54"/>
        <v>4208</v>
      </c>
      <c r="P266" s="32" cm="1">
        <f t="array" ref="P266">WPNFACTOR(C266)</f>
        <v>4.5</v>
      </c>
      <c r="Q266" s="34" cm="1">
        <f t="array" ref="Q266">HPFACTOr(C266)</f>
        <v>2</v>
      </c>
      <c r="R266" s="33">
        <f t="shared" si="55"/>
        <v>935.11111111111109</v>
      </c>
      <c r="S266" s="34">
        <f t="shared" si="56"/>
        <v>40694680</v>
      </c>
      <c r="T266" s="33">
        <f t="shared" si="57"/>
        <v>935.11111111111109</v>
      </c>
      <c r="U266" s="42">
        <f t="shared" si="58"/>
        <v>40694680</v>
      </c>
      <c r="V266" s="44"/>
      <c r="W266" s="29">
        <f t="shared" si="60"/>
        <v>38054047431.111107</v>
      </c>
      <c r="X266" s="41">
        <f t="shared" si="59"/>
        <v>35.147330855907356</v>
      </c>
      <c r="Y266" s="33">
        <f t="shared" si="61"/>
        <v>441.67235183337675</v>
      </c>
      <c r="Z266" s="33">
        <v>1.33</v>
      </c>
      <c r="AA266" s="29">
        <f t="shared" si="62"/>
        <v>587.42422793839114</v>
      </c>
      <c r="AB266" s="48">
        <f t="shared" si="63"/>
        <v>3363.5685651785575</v>
      </c>
      <c r="AD266" s="47">
        <f t="shared" si="64"/>
        <v>0</v>
      </c>
    </row>
    <row r="267" spans="1:30" x14ac:dyDescent="0.2">
      <c r="A267" s="30" t="s">
        <v>8866</v>
      </c>
      <c r="B267" s="29">
        <v>6</v>
      </c>
      <c r="C267" s="29">
        <v>1</v>
      </c>
      <c r="D267" s="29">
        <v>424</v>
      </c>
      <c r="E267" s="29">
        <v>22421</v>
      </c>
      <c r="F267" s="29">
        <v>10797</v>
      </c>
      <c r="G267" s="29">
        <v>10620</v>
      </c>
      <c r="H267" s="29">
        <v>112800</v>
      </c>
      <c r="I267" s="29">
        <v>15630</v>
      </c>
      <c r="J267" s="29">
        <v>239700000</v>
      </c>
      <c r="K267" s="29">
        <v>1446</v>
      </c>
      <c r="L267" s="29">
        <v>2441</v>
      </c>
      <c r="N267" s="34"/>
      <c r="O267" s="29">
        <f t="shared" si="54"/>
        <v>1943.5</v>
      </c>
      <c r="P267" s="32" cm="1">
        <f t="array" ref="P267">WPNFACTOR(C267)</f>
        <v>2</v>
      </c>
      <c r="Q267" s="34" cm="1">
        <f t="array" ref="Q267">HPFACTOr(C267)</f>
        <v>5</v>
      </c>
      <c r="R267" s="33">
        <f t="shared" si="55"/>
        <v>971.75</v>
      </c>
      <c r="S267" s="34">
        <f t="shared" si="56"/>
        <v>47940000</v>
      </c>
      <c r="T267" s="33">
        <f t="shared" si="57"/>
        <v>971.75</v>
      </c>
      <c r="U267" s="42">
        <f t="shared" si="58"/>
        <v>47940000</v>
      </c>
      <c r="V267" s="44"/>
      <c r="W267" s="29">
        <f t="shared" si="60"/>
        <v>46585695000</v>
      </c>
      <c r="X267" s="41">
        <f t="shared" si="59"/>
        <v>35.439167965537777</v>
      </c>
      <c r="Y267" s="33">
        <f t="shared" si="61"/>
        <v>464.5828188704773</v>
      </c>
      <c r="Z267" s="33">
        <v>1.33</v>
      </c>
      <c r="AA267" s="29">
        <f t="shared" si="62"/>
        <v>617.89514909773482</v>
      </c>
      <c r="AB267" s="48">
        <f t="shared" si="63"/>
        <v>3598.1908347909157</v>
      </c>
      <c r="AD267" s="47">
        <f t="shared" si="64"/>
        <v>0</v>
      </c>
    </row>
    <row r="268" spans="1:30" x14ac:dyDescent="0.2">
      <c r="A268" s="30" t="s">
        <v>8866</v>
      </c>
      <c r="B268" s="29">
        <v>7</v>
      </c>
      <c r="C268" s="29">
        <v>3</v>
      </c>
      <c r="D268" s="29">
        <v>440</v>
      </c>
      <c r="E268" s="29">
        <v>9250</v>
      </c>
      <c r="F268" s="29">
        <v>23036</v>
      </c>
      <c r="G268" s="29">
        <v>9250</v>
      </c>
      <c r="H268" s="29">
        <v>108665</v>
      </c>
      <c r="I268" s="29">
        <v>15697</v>
      </c>
      <c r="J268" s="29">
        <v>191685056</v>
      </c>
      <c r="K268" s="29">
        <v>1874</v>
      </c>
      <c r="L268" s="29">
        <v>3167</v>
      </c>
      <c r="N268" s="34"/>
      <c r="O268" s="29">
        <f t="shared" si="54"/>
        <v>2520.5</v>
      </c>
      <c r="P268" s="32" cm="1">
        <f t="array" ref="P268">WPNFACTOR(C268)</f>
        <v>2.5</v>
      </c>
      <c r="Q268" s="34" cm="1">
        <f t="array" ref="Q268">HPFACTOr(C268)</f>
        <v>4</v>
      </c>
      <c r="R268" s="33">
        <f t="shared" si="55"/>
        <v>1008.2</v>
      </c>
      <c r="S268" s="34">
        <f t="shared" si="56"/>
        <v>47921264</v>
      </c>
      <c r="T268" s="33">
        <f t="shared" si="57"/>
        <v>1008.2</v>
      </c>
      <c r="U268" s="42">
        <f t="shared" si="58"/>
        <v>47921264</v>
      </c>
      <c r="V268" s="44"/>
      <c r="W268" s="29">
        <f t="shared" si="60"/>
        <v>48314218364.800003</v>
      </c>
      <c r="X268" s="41">
        <f t="shared" si="59"/>
        <v>35.491728770351763</v>
      </c>
      <c r="Y268" s="33">
        <f t="shared" si="61"/>
        <v>468.83361150634562</v>
      </c>
      <c r="Z268" s="33">
        <v>1.33</v>
      </c>
      <c r="AA268" s="29">
        <f t="shared" si="62"/>
        <v>623.54870330343965</v>
      </c>
      <c r="AB268" s="48">
        <f t="shared" si="63"/>
        <v>3642.1541199599046</v>
      </c>
      <c r="AD268" s="47">
        <f t="shared" si="64"/>
        <v>0</v>
      </c>
    </row>
    <row r="269" spans="1:30" x14ac:dyDescent="0.2">
      <c r="A269" s="30" t="s">
        <v>8866</v>
      </c>
      <c r="B269" s="29">
        <v>8</v>
      </c>
      <c r="C269" s="29">
        <v>5</v>
      </c>
      <c r="D269" s="29">
        <v>456</v>
      </c>
      <c r="E269" s="29">
        <v>29669</v>
      </c>
      <c r="F269" s="29">
        <v>6988</v>
      </c>
      <c r="G269" s="29">
        <v>6988</v>
      </c>
      <c r="H269" s="29">
        <v>116680</v>
      </c>
      <c r="I269" s="29">
        <v>16639</v>
      </c>
      <c r="J269" s="29">
        <v>266613792</v>
      </c>
      <c r="K269" s="29">
        <v>1554</v>
      </c>
      <c r="L269" s="29">
        <v>2627</v>
      </c>
      <c r="N269" s="34"/>
      <c r="O269" s="29">
        <f t="shared" si="54"/>
        <v>2090.5</v>
      </c>
      <c r="P269" s="32" cm="1">
        <f t="array" ref="P269">WPNFACTOR(C269)</f>
        <v>2</v>
      </c>
      <c r="Q269" s="34" cm="1">
        <f t="array" ref="Q269">HPFACTOr(C269)</f>
        <v>5</v>
      </c>
      <c r="R269" s="33">
        <f t="shared" si="55"/>
        <v>1045.25</v>
      </c>
      <c r="S269" s="34">
        <f t="shared" si="56"/>
        <v>53322758.399999999</v>
      </c>
      <c r="T269" s="33">
        <f t="shared" si="57"/>
        <v>1045.25</v>
      </c>
      <c r="U269" s="42">
        <f t="shared" si="58"/>
        <v>53322758.399999999</v>
      </c>
      <c r="V269" s="44"/>
      <c r="W269" s="29">
        <f t="shared" si="60"/>
        <v>55735613217.599998</v>
      </c>
      <c r="X269" s="41">
        <f t="shared" si="59"/>
        <v>35.697880405598312</v>
      </c>
      <c r="Y269" s="33">
        <f t="shared" si="61"/>
        <v>485.88466881642194</v>
      </c>
      <c r="Z269" s="33">
        <v>1.33</v>
      </c>
      <c r="AA269" s="29">
        <f t="shared" si="62"/>
        <v>646.22660952584124</v>
      </c>
      <c r="AB269" s="48">
        <f t="shared" si="63"/>
        <v>3819.8319877495669</v>
      </c>
      <c r="AD269" s="47">
        <f t="shared" si="64"/>
        <v>0</v>
      </c>
    </row>
    <row r="270" spans="1:30" x14ac:dyDescent="0.2">
      <c r="A270" s="30" t="s">
        <v>8866</v>
      </c>
      <c r="B270" s="29">
        <v>9</v>
      </c>
      <c r="C270" s="29">
        <v>1</v>
      </c>
      <c r="D270" s="29">
        <v>474</v>
      </c>
      <c r="E270" s="29">
        <v>36039</v>
      </c>
      <c r="F270" s="29">
        <v>15498</v>
      </c>
      <c r="G270" s="29">
        <v>15498</v>
      </c>
      <c r="H270" s="29">
        <v>160331</v>
      </c>
      <c r="I270" s="29">
        <v>22927</v>
      </c>
      <c r="J270" s="29">
        <v>380786112</v>
      </c>
      <c r="K270" s="29">
        <v>1616</v>
      </c>
      <c r="L270" s="29">
        <v>2725</v>
      </c>
      <c r="N270" s="34"/>
      <c r="O270" s="29">
        <f t="shared" si="54"/>
        <v>2170.5</v>
      </c>
      <c r="P270" s="32" cm="1">
        <f t="array" ref="P270">WPNFACTOR(C270)</f>
        <v>2</v>
      </c>
      <c r="Q270" s="34" cm="1">
        <f t="array" ref="Q270">HPFACTOr(C270)</f>
        <v>5</v>
      </c>
      <c r="R270" s="33">
        <f t="shared" si="55"/>
        <v>1085.25</v>
      </c>
      <c r="S270" s="34">
        <f t="shared" si="56"/>
        <v>76157222.400000006</v>
      </c>
      <c r="T270" s="33">
        <f t="shared" si="57"/>
        <v>1085.25</v>
      </c>
      <c r="U270" s="42">
        <f t="shared" si="58"/>
        <v>76157222.400000006</v>
      </c>
      <c r="V270" s="44"/>
      <c r="W270" s="29">
        <f t="shared" si="60"/>
        <v>82649625609.600006</v>
      </c>
      <c r="X270" s="41">
        <f t="shared" si="59"/>
        <v>36.266289233213996</v>
      </c>
      <c r="Y270" s="33">
        <f t="shared" si="61"/>
        <v>536.17952132677192</v>
      </c>
      <c r="Z270" s="33">
        <v>1.33</v>
      </c>
      <c r="AA270" s="29">
        <f t="shared" si="62"/>
        <v>713.11876336460671</v>
      </c>
      <c r="AB270" s="48">
        <f t="shared" si="63"/>
        <v>4355.9240308829712</v>
      </c>
      <c r="AD270" s="47">
        <f t="shared" si="64"/>
        <v>0</v>
      </c>
    </row>
    <row r="271" spans="1:30" x14ac:dyDescent="0.2">
      <c r="A271" s="30" t="s">
        <v>8866</v>
      </c>
      <c r="B271" s="29">
        <v>10</v>
      </c>
      <c r="C271" s="29">
        <v>1</v>
      </c>
      <c r="D271" s="29">
        <v>500</v>
      </c>
      <c r="E271" s="29">
        <v>38231</v>
      </c>
      <c r="F271" s="29">
        <v>10473</v>
      </c>
      <c r="G271" s="29">
        <v>10474</v>
      </c>
      <c r="H271" s="29">
        <v>158088</v>
      </c>
      <c r="I271" s="29">
        <v>22969</v>
      </c>
      <c r="J271" s="29">
        <v>396010432</v>
      </c>
      <c r="K271" s="29">
        <v>1704</v>
      </c>
      <c r="L271" s="29">
        <v>2879</v>
      </c>
      <c r="N271" s="34"/>
      <c r="O271" s="29">
        <f t="shared" si="54"/>
        <v>2291.5</v>
      </c>
      <c r="P271" s="32" cm="1">
        <f t="array" ref="P271">WPNFACTOR(C271)</f>
        <v>2</v>
      </c>
      <c r="Q271" s="34" cm="1">
        <f t="array" ref="Q271">HPFACTOr(C271)</f>
        <v>5</v>
      </c>
      <c r="R271" s="33">
        <f t="shared" si="55"/>
        <v>1145.75</v>
      </c>
      <c r="S271" s="34">
        <f t="shared" si="56"/>
        <v>79202086.400000006</v>
      </c>
      <c r="T271" s="33">
        <f t="shared" si="57"/>
        <v>1145.75</v>
      </c>
      <c r="U271" s="42">
        <f t="shared" si="58"/>
        <v>79202086.400000006</v>
      </c>
      <c r="V271" s="44"/>
      <c r="W271" s="29">
        <f t="shared" si="60"/>
        <v>90745790492.800003</v>
      </c>
      <c r="X271" s="41">
        <f t="shared" si="59"/>
        <v>36.401111669932227</v>
      </c>
      <c r="Y271" s="33">
        <f t="shared" si="61"/>
        <v>548.85373256700018</v>
      </c>
      <c r="Z271" s="33">
        <v>1.33</v>
      </c>
      <c r="AA271" s="29">
        <f t="shared" si="62"/>
        <v>729.97546431411024</v>
      </c>
      <c r="AB271" s="48">
        <f t="shared" si="63"/>
        <v>4493.7491894072245</v>
      </c>
      <c r="AD271" s="47">
        <f t="shared" si="64"/>
        <v>0</v>
      </c>
    </row>
    <row r="272" spans="1:30" x14ac:dyDescent="0.2">
      <c r="A272" s="30" t="s">
        <v>8867</v>
      </c>
      <c r="B272" s="29">
        <v>1</v>
      </c>
      <c r="C272" s="29">
        <v>3</v>
      </c>
      <c r="D272" s="29">
        <v>410</v>
      </c>
      <c r="E272" s="29">
        <v>7080</v>
      </c>
      <c r="F272" s="29">
        <v>20200</v>
      </c>
      <c r="G272" s="29">
        <v>7050</v>
      </c>
      <c r="H272" s="29">
        <v>18210</v>
      </c>
      <c r="I272" s="29">
        <v>4280</v>
      </c>
      <c r="J272" s="29">
        <v>29937240</v>
      </c>
      <c r="K272" s="29">
        <v>1299</v>
      </c>
      <c r="L272" s="29">
        <v>3185</v>
      </c>
      <c r="N272" s="34"/>
      <c r="O272" s="29">
        <f t="shared" si="54"/>
        <v>2242</v>
      </c>
      <c r="P272" s="32" cm="1">
        <f t="array" ref="P272">WPNFACTOR(C272)</f>
        <v>2.5</v>
      </c>
      <c r="Q272" s="34" cm="1">
        <f t="array" ref="Q272">HPFACTOr(C272)</f>
        <v>4</v>
      </c>
      <c r="R272" s="33">
        <f t="shared" si="55"/>
        <v>896.8</v>
      </c>
      <c r="S272" s="34">
        <f t="shared" si="56"/>
        <v>7484310</v>
      </c>
      <c r="T272" s="33">
        <f t="shared" si="57"/>
        <v>896.8</v>
      </c>
      <c r="U272" s="42">
        <f t="shared" si="58"/>
        <v>7484310</v>
      </c>
      <c r="V272" s="44"/>
      <c r="W272" s="29">
        <f t="shared" si="60"/>
        <v>6711929208</v>
      </c>
      <c r="X272" s="41">
        <f t="shared" si="59"/>
        <v>32.644080353463949</v>
      </c>
      <c r="Y272" s="33">
        <f t="shared" si="61"/>
        <v>286.22781931126798</v>
      </c>
      <c r="Z272" s="33">
        <v>1.33</v>
      </c>
      <c r="AA272" s="29">
        <f t="shared" si="62"/>
        <v>380.68299968398645</v>
      </c>
      <c r="AB272" s="48">
        <f t="shared" si="63"/>
        <v>1886.3218226811341</v>
      </c>
      <c r="AD272" s="47">
        <f t="shared" si="64"/>
        <v>0</v>
      </c>
    </row>
    <row r="273" spans="1:30" x14ac:dyDescent="0.2">
      <c r="A273" s="30" t="s">
        <v>8867</v>
      </c>
      <c r="B273" s="29">
        <v>2</v>
      </c>
      <c r="C273" s="29">
        <v>1</v>
      </c>
      <c r="D273" s="29">
        <v>420</v>
      </c>
      <c r="E273" s="29">
        <v>24240</v>
      </c>
      <c r="F273" s="29">
        <v>8490</v>
      </c>
      <c r="G273" s="29">
        <v>8460</v>
      </c>
      <c r="H273" s="29">
        <v>20030</v>
      </c>
      <c r="I273" s="29">
        <v>5130</v>
      </c>
      <c r="J273" s="29">
        <v>42163152</v>
      </c>
      <c r="K273" s="29">
        <v>1247</v>
      </c>
      <c r="L273" s="29">
        <v>3060</v>
      </c>
      <c r="N273" s="34"/>
      <c r="O273" s="29">
        <f t="shared" si="54"/>
        <v>2153.5</v>
      </c>
      <c r="P273" s="32" cm="1">
        <f t="array" ref="P273">WPNFACTOR(C273)</f>
        <v>2</v>
      </c>
      <c r="Q273" s="34" cm="1">
        <f t="array" ref="Q273">HPFACTOr(C273)</f>
        <v>5</v>
      </c>
      <c r="R273" s="33">
        <f t="shared" si="55"/>
        <v>1076.75</v>
      </c>
      <c r="S273" s="34">
        <f t="shared" si="56"/>
        <v>8432630.4000000004</v>
      </c>
      <c r="T273" s="33">
        <f t="shared" si="57"/>
        <v>1076.75</v>
      </c>
      <c r="U273" s="42">
        <f t="shared" si="58"/>
        <v>8432630.4000000004</v>
      </c>
      <c r="V273" s="44"/>
      <c r="W273" s="29">
        <f t="shared" si="60"/>
        <v>9079834783.2000008</v>
      </c>
      <c r="X273" s="41">
        <f t="shared" si="59"/>
        <v>33.080018900442255</v>
      </c>
      <c r="Y273" s="33">
        <f t="shared" si="61"/>
        <v>308.68781490060428</v>
      </c>
      <c r="Z273" s="33">
        <v>1.33</v>
      </c>
      <c r="AA273" s="29">
        <f t="shared" si="62"/>
        <v>410.55479381780373</v>
      </c>
      <c r="AB273" s="48">
        <f t="shared" si="63"/>
        <v>2086.2162091315809</v>
      </c>
      <c r="AD273" s="47">
        <f t="shared" si="64"/>
        <v>0</v>
      </c>
    </row>
    <row r="274" spans="1:30" x14ac:dyDescent="0.2">
      <c r="A274" s="30" t="s">
        <v>8867</v>
      </c>
      <c r="B274" s="29">
        <v>3</v>
      </c>
      <c r="C274" s="29">
        <v>2</v>
      </c>
      <c r="D274" s="29">
        <v>430</v>
      </c>
      <c r="E274" s="29">
        <v>10150</v>
      </c>
      <c r="F274" s="29">
        <v>10180</v>
      </c>
      <c r="G274" s="29">
        <v>29080</v>
      </c>
      <c r="H274" s="29">
        <v>22030</v>
      </c>
      <c r="I274" s="29">
        <v>6150</v>
      </c>
      <c r="J274" s="29">
        <v>18989860</v>
      </c>
      <c r="K274" s="29">
        <v>3364</v>
      </c>
      <c r="L274" s="29">
        <v>8263</v>
      </c>
      <c r="N274" s="34"/>
      <c r="O274" s="29">
        <f t="shared" si="54"/>
        <v>5813.5</v>
      </c>
      <c r="P274" s="32" cm="1">
        <f t="array" ref="P274">WPNFACTOR(C274)</f>
        <v>4.5</v>
      </c>
      <c r="Q274" s="34" cm="1">
        <f t="array" ref="Q274">HPFACTOr(C274)</f>
        <v>2</v>
      </c>
      <c r="R274" s="33">
        <f t="shared" si="55"/>
        <v>1291.8888888888889</v>
      </c>
      <c r="S274" s="34">
        <f t="shared" si="56"/>
        <v>9494930</v>
      </c>
      <c r="T274" s="33">
        <f t="shared" si="57"/>
        <v>1291.8888888888889</v>
      </c>
      <c r="U274" s="42">
        <f t="shared" si="58"/>
        <v>9494930</v>
      </c>
      <c r="V274" s="44"/>
      <c r="W274" s="29">
        <f t="shared" si="60"/>
        <v>12266394567.777779</v>
      </c>
      <c r="X274" s="41">
        <f t="shared" si="59"/>
        <v>33.513992212255012</v>
      </c>
      <c r="Y274" s="33">
        <f t="shared" si="61"/>
        <v>332.79686965168906</v>
      </c>
      <c r="Z274" s="33">
        <v>1.33</v>
      </c>
      <c r="AA274" s="29">
        <f t="shared" si="62"/>
        <v>442.61983663674647</v>
      </c>
      <c r="AB274" s="48">
        <f t="shared" si="63"/>
        <v>2306.246070050347</v>
      </c>
      <c r="AD274" s="47">
        <f t="shared" si="64"/>
        <v>0</v>
      </c>
    </row>
    <row r="275" spans="1:30" x14ac:dyDescent="0.2">
      <c r="A275" s="30" t="s">
        <v>8867</v>
      </c>
      <c r="B275" s="29">
        <v>4</v>
      </c>
      <c r="C275" s="29">
        <v>1</v>
      </c>
      <c r="D275" s="29">
        <v>440</v>
      </c>
      <c r="E275" s="29">
        <v>34890</v>
      </c>
      <c r="F275" s="29">
        <v>12210</v>
      </c>
      <c r="G275" s="29">
        <v>12180</v>
      </c>
      <c r="H275" s="29">
        <v>24230</v>
      </c>
      <c r="I275" s="29">
        <v>7380</v>
      </c>
      <c r="J275" s="29">
        <v>53427152</v>
      </c>
      <c r="K275" s="29">
        <v>1796</v>
      </c>
      <c r="L275" s="29">
        <v>4404</v>
      </c>
      <c r="N275" s="34"/>
      <c r="O275" s="29">
        <f t="shared" si="54"/>
        <v>3100</v>
      </c>
      <c r="P275" s="32" cm="1">
        <f t="array" ref="P275">WPNFACTOR(C275)</f>
        <v>2</v>
      </c>
      <c r="Q275" s="34" cm="1">
        <f t="array" ref="Q275">HPFACTOr(C275)</f>
        <v>5</v>
      </c>
      <c r="R275" s="33">
        <f t="shared" si="55"/>
        <v>1550</v>
      </c>
      <c r="S275" s="34">
        <f t="shared" si="56"/>
        <v>10685430.4</v>
      </c>
      <c r="T275" s="33">
        <f t="shared" si="57"/>
        <v>1550</v>
      </c>
      <c r="U275" s="42">
        <f t="shared" si="58"/>
        <v>10685430.4</v>
      </c>
      <c r="V275" s="44"/>
      <c r="W275" s="29">
        <f t="shared" si="60"/>
        <v>16562417120</v>
      </c>
      <c r="X275" s="41">
        <f t="shared" si="59"/>
        <v>33.947194184063896</v>
      </c>
      <c r="Y275" s="33">
        <f t="shared" si="61"/>
        <v>358.74092986617183</v>
      </c>
      <c r="Z275" s="33">
        <v>1.33</v>
      </c>
      <c r="AA275" s="29">
        <f t="shared" si="62"/>
        <v>477.12543672200854</v>
      </c>
      <c r="AB275" s="48">
        <f t="shared" si="63"/>
        <v>2549.0278041988518</v>
      </c>
      <c r="AD275" s="47">
        <f t="shared" si="64"/>
        <v>0</v>
      </c>
    </row>
    <row r="276" spans="1:30" x14ac:dyDescent="0.2">
      <c r="A276" s="30" t="s">
        <v>8867</v>
      </c>
      <c r="B276" s="29">
        <v>5</v>
      </c>
      <c r="C276" s="29">
        <v>2</v>
      </c>
      <c r="D276" s="29">
        <v>450</v>
      </c>
      <c r="E276" s="29">
        <v>14610</v>
      </c>
      <c r="F276" s="29">
        <v>14650</v>
      </c>
      <c r="G276" s="29">
        <v>41860</v>
      </c>
      <c r="H276" s="29">
        <v>26650</v>
      </c>
      <c r="I276" s="29">
        <v>8850</v>
      </c>
      <c r="J276" s="29">
        <v>24038300</v>
      </c>
      <c r="K276" s="29">
        <v>4848</v>
      </c>
      <c r="L276" s="29">
        <v>11901</v>
      </c>
      <c r="N276" s="34"/>
      <c r="O276" s="29">
        <f t="shared" si="54"/>
        <v>8374.5</v>
      </c>
      <c r="P276" s="32" cm="1">
        <f t="array" ref="P276">WPNFACTOR(C276)</f>
        <v>4.5</v>
      </c>
      <c r="Q276" s="34" cm="1">
        <f t="array" ref="Q276">HPFACTOr(C276)</f>
        <v>2</v>
      </c>
      <c r="R276" s="33">
        <f t="shared" si="55"/>
        <v>1861</v>
      </c>
      <c r="S276" s="34">
        <f t="shared" si="56"/>
        <v>12019150</v>
      </c>
      <c r="T276" s="33">
        <f t="shared" si="57"/>
        <v>1861</v>
      </c>
      <c r="U276" s="42">
        <f t="shared" si="58"/>
        <v>12019150</v>
      </c>
      <c r="V276" s="44"/>
      <c r="W276" s="29">
        <f t="shared" si="60"/>
        <v>22367638150</v>
      </c>
      <c r="X276" s="41">
        <f t="shared" si="59"/>
        <v>34.380693875848429</v>
      </c>
      <c r="Y276" s="33">
        <f t="shared" si="61"/>
        <v>386.72747903585429</v>
      </c>
      <c r="Z276" s="33">
        <v>1.33</v>
      </c>
      <c r="AA276" s="29">
        <f t="shared" si="62"/>
        <v>514.34754711768619</v>
      </c>
      <c r="AB276" s="48">
        <f t="shared" si="63"/>
        <v>2817.5613169778403</v>
      </c>
      <c r="AD276" s="47">
        <f t="shared" si="64"/>
        <v>0</v>
      </c>
    </row>
    <row r="277" spans="1:30" x14ac:dyDescent="0.2">
      <c r="A277" s="30" t="s">
        <v>8867</v>
      </c>
      <c r="B277" s="29">
        <v>6</v>
      </c>
      <c r="C277" s="29">
        <v>1</v>
      </c>
      <c r="D277" s="29">
        <v>460</v>
      </c>
      <c r="E277" s="29">
        <v>50230</v>
      </c>
      <c r="F277" s="29">
        <v>17580</v>
      </c>
      <c r="G277" s="29">
        <v>17530</v>
      </c>
      <c r="H277" s="29">
        <v>29310</v>
      </c>
      <c r="I277" s="29">
        <v>10620</v>
      </c>
      <c r="J277" s="29">
        <v>67559552</v>
      </c>
      <c r="K277" s="29">
        <v>2584</v>
      </c>
      <c r="L277" s="29">
        <v>6343</v>
      </c>
      <c r="N277" s="34"/>
      <c r="O277" s="29">
        <f t="shared" si="54"/>
        <v>4463.5</v>
      </c>
      <c r="P277" s="32" cm="1">
        <f t="array" ref="P277">WPNFACTOR(C277)</f>
        <v>2</v>
      </c>
      <c r="Q277" s="34" cm="1">
        <f t="array" ref="Q277">HPFACTOr(C277)</f>
        <v>5</v>
      </c>
      <c r="R277" s="33">
        <f t="shared" si="55"/>
        <v>2231.75</v>
      </c>
      <c r="S277" s="34">
        <f t="shared" si="56"/>
        <v>13511910.4</v>
      </c>
      <c r="T277" s="33">
        <f t="shared" si="57"/>
        <v>2231.75</v>
      </c>
      <c r="U277" s="42">
        <f t="shared" si="58"/>
        <v>13511910.4</v>
      </c>
      <c r="V277" s="44"/>
      <c r="W277" s="29">
        <f t="shared" si="60"/>
        <v>30155206035.200001</v>
      </c>
      <c r="X277" s="41">
        <f t="shared" si="59"/>
        <v>34.81168804130737</v>
      </c>
      <c r="Y277" s="33">
        <f t="shared" si="61"/>
        <v>416.71638315871684</v>
      </c>
      <c r="Z277" s="33">
        <v>1.33</v>
      </c>
      <c r="AA277" s="29">
        <f t="shared" si="62"/>
        <v>554.23278960109337</v>
      </c>
      <c r="AB277" s="48">
        <f t="shared" si="63"/>
        <v>3112.5817498959532</v>
      </c>
      <c r="AD277" s="47">
        <f t="shared" si="64"/>
        <v>0</v>
      </c>
    </row>
    <row r="278" spans="1:30" x14ac:dyDescent="0.2">
      <c r="A278" s="30" t="s">
        <v>8867</v>
      </c>
      <c r="B278" s="29">
        <v>7</v>
      </c>
      <c r="C278" s="29">
        <v>1</v>
      </c>
      <c r="D278" s="29">
        <v>470</v>
      </c>
      <c r="E278" s="29">
        <v>60270</v>
      </c>
      <c r="F278" s="29">
        <v>21090</v>
      </c>
      <c r="G278" s="29">
        <v>21030</v>
      </c>
      <c r="H278" s="29">
        <v>32240</v>
      </c>
      <c r="I278" s="29">
        <v>12740</v>
      </c>
      <c r="J278" s="29">
        <v>75925200</v>
      </c>
      <c r="K278" s="29">
        <v>3101</v>
      </c>
      <c r="L278" s="29">
        <v>7612</v>
      </c>
      <c r="N278" s="34"/>
      <c r="O278" s="29">
        <f t="shared" si="54"/>
        <v>5356.5</v>
      </c>
      <c r="P278" s="32" cm="1">
        <f t="array" ref="P278">WPNFACTOR(C278)</f>
        <v>2</v>
      </c>
      <c r="Q278" s="34" cm="1">
        <f t="array" ref="Q278">HPFACTOr(C278)</f>
        <v>5</v>
      </c>
      <c r="R278" s="33">
        <f t="shared" si="55"/>
        <v>2678.25</v>
      </c>
      <c r="S278" s="34">
        <f t="shared" si="56"/>
        <v>15185040</v>
      </c>
      <c r="T278" s="33">
        <f t="shared" si="57"/>
        <v>2678.25</v>
      </c>
      <c r="U278" s="42">
        <f t="shared" si="58"/>
        <v>15185040</v>
      </c>
      <c r="V278" s="44"/>
      <c r="W278" s="29">
        <f t="shared" si="60"/>
        <v>40669333380</v>
      </c>
      <c r="X278" s="41">
        <f t="shared" si="59"/>
        <v>35.243222292335339</v>
      </c>
      <c r="Y278" s="33">
        <f t="shared" si="61"/>
        <v>449.07281291577601</v>
      </c>
      <c r="Z278" s="33">
        <v>1.33</v>
      </c>
      <c r="AA278" s="29">
        <f t="shared" si="62"/>
        <v>597.26684117798209</v>
      </c>
      <c r="AB278" s="48">
        <f t="shared" si="63"/>
        <v>3438.9222043754507</v>
      </c>
      <c r="AD278" s="47">
        <f t="shared" si="64"/>
        <v>0</v>
      </c>
    </row>
    <row r="279" spans="1:30" x14ac:dyDescent="0.2">
      <c r="A279" s="30" t="s">
        <v>8867</v>
      </c>
      <c r="B279" s="29">
        <v>8</v>
      </c>
      <c r="C279" s="29">
        <v>1</v>
      </c>
      <c r="D279" s="29">
        <v>480</v>
      </c>
      <c r="E279" s="29">
        <v>72320</v>
      </c>
      <c r="F279" s="29">
        <v>25300</v>
      </c>
      <c r="G279" s="29">
        <v>25230</v>
      </c>
      <c r="H279" s="29">
        <v>35460</v>
      </c>
      <c r="I279" s="29">
        <v>15280</v>
      </c>
      <c r="J279" s="29">
        <v>85281296</v>
      </c>
      <c r="K279" s="29">
        <v>3722</v>
      </c>
      <c r="L279" s="29">
        <v>9140</v>
      </c>
      <c r="N279" s="34"/>
      <c r="O279" s="29">
        <f t="shared" si="54"/>
        <v>6431</v>
      </c>
      <c r="P279" s="32" cm="1">
        <f t="array" ref="P279">WPNFACTOR(C279)</f>
        <v>2</v>
      </c>
      <c r="Q279" s="34" cm="1">
        <f t="array" ref="Q279">HPFACTOr(C279)</f>
        <v>5</v>
      </c>
      <c r="R279" s="33">
        <f t="shared" si="55"/>
        <v>3215.5</v>
      </c>
      <c r="S279" s="34">
        <f t="shared" si="56"/>
        <v>17056259.199999999</v>
      </c>
      <c r="T279" s="33">
        <f t="shared" si="57"/>
        <v>3215.5</v>
      </c>
      <c r="U279" s="42">
        <f t="shared" si="58"/>
        <v>17056259.199999999</v>
      </c>
      <c r="V279" s="44"/>
      <c r="W279" s="29">
        <f t="shared" si="60"/>
        <v>54844401457.599998</v>
      </c>
      <c r="X279" s="41">
        <f t="shared" si="59"/>
        <v>35.674625306027274</v>
      </c>
      <c r="Y279" s="33">
        <f t="shared" si="61"/>
        <v>483.93058988369393</v>
      </c>
      <c r="Z279" s="33">
        <v>1.33</v>
      </c>
      <c r="AA279" s="29">
        <f t="shared" si="62"/>
        <v>643.62768454531295</v>
      </c>
      <c r="AB279" s="48">
        <f t="shared" si="63"/>
        <v>3799.3628076938753</v>
      </c>
      <c r="AD279" s="47">
        <f t="shared" si="64"/>
        <v>0</v>
      </c>
    </row>
    <row r="280" spans="1:30" x14ac:dyDescent="0.2">
      <c r="A280" s="30" t="s">
        <v>8867</v>
      </c>
      <c r="B280" s="29">
        <v>9</v>
      </c>
      <c r="C280" s="29">
        <v>3</v>
      </c>
      <c r="D280" s="29">
        <v>490</v>
      </c>
      <c r="E280" s="29">
        <v>30360</v>
      </c>
      <c r="F280" s="29">
        <v>86780</v>
      </c>
      <c r="G280" s="29">
        <v>30270</v>
      </c>
      <c r="H280" s="29">
        <v>39000</v>
      </c>
      <c r="I280" s="29">
        <v>18330</v>
      </c>
      <c r="J280" s="29">
        <v>76596000</v>
      </c>
      <c r="K280" s="29">
        <v>5596</v>
      </c>
      <c r="L280" s="29">
        <v>13705</v>
      </c>
      <c r="N280" s="34"/>
      <c r="O280" s="29">
        <f t="shared" si="54"/>
        <v>9650.5</v>
      </c>
      <c r="P280" s="32" cm="1">
        <f t="array" ref="P280">WPNFACTOR(C280)</f>
        <v>2.5</v>
      </c>
      <c r="Q280" s="34" cm="1">
        <f t="array" ref="Q280">HPFACTOr(C280)</f>
        <v>4</v>
      </c>
      <c r="R280" s="33">
        <f t="shared" si="55"/>
        <v>3860.2</v>
      </c>
      <c r="S280" s="34">
        <f t="shared" si="56"/>
        <v>19149000</v>
      </c>
      <c r="T280" s="33">
        <f t="shared" si="57"/>
        <v>3860.2</v>
      </c>
      <c r="U280" s="42">
        <f t="shared" si="58"/>
        <v>19149000</v>
      </c>
      <c r="V280" s="44"/>
      <c r="W280" s="29">
        <f t="shared" si="60"/>
        <v>73918969800</v>
      </c>
      <c r="X280" s="41">
        <f t="shared" si="59"/>
        <v>36.105225599096372</v>
      </c>
      <c r="Y280" s="33">
        <f t="shared" si="61"/>
        <v>521.42155010244255</v>
      </c>
      <c r="Z280" s="33">
        <v>1.33</v>
      </c>
      <c r="AA280" s="29">
        <f t="shared" si="62"/>
        <v>693.49066163624866</v>
      </c>
      <c r="AB280" s="48">
        <f t="shared" si="63"/>
        <v>4196.8034975538394</v>
      </c>
      <c r="AD280" s="47">
        <f t="shared" si="64"/>
        <v>0</v>
      </c>
    </row>
    <row r="281" spans="1:30" x14ac:dyDescent="0.2">
      <c r="A281" s="30" t="s">
        <v>8867</v>
      </c>
      <c r="B281" s="29">
        <v>10</v>
      </c>
      <c r="C281" s="29">
        <v>2</v>
      </c>
      <c r="D281" s="29">
        <v>500</v>
      </c>
      <c r="E281" s="29">
        <v>36430</v>
      </c>
      <c r="F281" s="29">
        <v>36320</v>
      </c>
      <c r="G281" s="29">
        <v>104130</v>
      </c>
      <c r="H281" s="29">
        <v>42900</v>
      </c>
      <c r="I281" s="29">
        <v>21990</v>
      </c>
      <c r="J281" s="29">
        <v>42985800</v>
      </c>
      <c r="K281" s="29">
        <v>12063</v>
      </c>
      <c r="L281" s="29">
        <v>29600</v>
      </c>
      <c r="N281" s="34"/>
      <c r="O281" s="29">
        <f t="shared" si="54"/>
        <v>20831.5</v>
      </c>
      <c r="P281" s="32" cm="1">
        <f t="array" ref="P281">WPNFACTOR(C281)</f>
        <v>4.5</v>
      </c>
      <c r="Q281" s="34" cm="1">
        <f t="array" ref="Q281">HPFACTOr(C281)</f>
        <v>2</v>
      </c>
      <c r="R281" s="33">
        <f t="shared" si="55"/>
        <v>4629.2222222222226</v>
      </c>
      <c r="S281" s="34">
        <f t="shared" si="56"/>
        <v>21492900</v>
      </c>
      <c r="T281" s="33">
        <f t="shared" si="57"/>
        <v>4629.2222222222226</v>
      </c>
      <c r="U281" s="42">
        <f t="shared" si="58"/>
        <v>21492900</v>
      </c>
      <c r="V281" s="44"/>
      <c r="W281" s="29">
        <f t="shared" si="60"/>
        <v>99495410300.000015</v>
      </c>
      <c r="X281" s="41">
        <f t="shared" si="59"/>
        <v>36.533910924880146</v>
      </c>
      <c r="Y281" s="33">
        <f t="shared" si="61"/>
        <v>561.6305998289821</v>
      </c>
      <c r="Z281" s="33">
        <v>1.33</v>
      </c>
      <c r="AA281" s="29">
        <f t="shared" si="62"/>
        <v>746.96869777254619</v>
      </c>
      <c r="AB281" s="48">
        <f t="shared" si="63"/>
        <v>4633.7686725272042</v>
      </c>
      <c r="AD281" s="47">
        <f t="shared" si="64"/>
        <v>0</v>
      </c>
    </row>
    <row r="282" spans="1:30" x14ac:dyDescent="0.2">
      <c r="A282" s="30" t="s">
        <v>2937</v>
      </c>
      <c r="B282" s="29">
        <v>10</v>
      </c>
      <c r="N282" s="34"/>
      <c r="Q282" s="34"/>
      <c r="S282" s="34"/>
      <c r="U282" s="42"/>
      <c r="V282" s="44"/>
      <c r="X282" s="41"/>
      <c r="AC282" s="29">
        <v>151</v>
      </c>
    </row>
    <row r="283" spans="1:30" x14ac:dyDescent="0.2">
      <c r="A283" s="30" t="s">
        <v>2937</v>
      </c>
      <c r="B283" s="29">
        <v>20</v>
      </c>
      <c r="N283" s="34"/>
      <c r="Q283" s="34"/>
      <c r="S283" s="34"/>
      <c r="U283" s="42"/>
      <c r="V283" s="44"/>
      <c r="X283" s="41"/>
      <c r="AC283" s="29">
        <v>151</v>
      </c>
    </row>
    <row r="284" spans="1:30" x14ac:dyDescent="0.2">
      <c r="A284" s="30" t="s">
        <v>2937</v>
      </c>
      <c r="B284" s="29">
        <v>30</v>
      </c>
      <c r="N284" s="34"/>
      <c r="Q284" s="34"/>
      <c r="S284" s="34"/>
      <c r="U284" s="42"/>
      <c r="V284" s="44"/>
      <c r="X284" s="41"/>
      <c r="AC284" s="29">
        <v>151</v>
      </c>
    </row>
    <row r="285" spans="1:30" x14ac:dyDescent="0.2">
      <c r="A285" s="30" t="s">
        <v>2937</v>
      </c>
      <c r="B285" s="29">
        <v>40</v>
      </c>
      <c r="N285" s="34"/>
      <c r="Q285" s="34"/>
      <c r="S285" s="34"/>
      <c r="U285" s="42"/>
      <c r="V285" s="44"/>
      <c r="X285" s="41"/>
      <c r="AC285" s="29">
        <v>152</v>
      </c>
    </row>
    <row r="286" spans="1:30" x14ac:dyDescent="0.2">
      <c r="A286" s="30" t="s">
        <v>2937</v>
      </c>
      <c r="B286" s="29">
        <v>50</v>
      </c>
      <c r="N286" s="34"/>
      <c r="Q286" s="34"/>
      <c r="S286" s="34"/>
      <c r="U286" s="42"/>
      <c r="V286" s="44"/>
      <c r="X286" s="41"/>
      <c r="AC286" s="29">
        <v>152</v>
      </c>
    </row>
    <row r="287" spans="1:30" x14ac:dyDescent="0.2">
      <c r="A287" s="30" t="s">
        <v>2937</v>
      </c>
      <c r="B287" s="29">
        <v>60</v>
      </c>
      <c r="N287" s="34"/>
      <c r="Q287" s="34"/>
      <c r="S287" s="34"/>
      <c r="U287" s="42"/>
      <c r="V287" s="44"/>
      <c r="X287" s="41"/>
      <c r="AC287" s="29">
        <v>163</v>
      </c>
    </row>
    <row r="288" spans="1:30" x14ac:dyDescent="0.2">
      <c r="A288" s="30" t="s">
        <v>2937</v>
      </c>
      <c r="B288" s="29">
        <v>70</v>
      </c>
      <c r="N288" s="34"/>
      <c r="Q288" s="34"/>
      <c r="S288" s="34"/>
      <c r="U288" s="42"/>
      <c r="V288" s="44"/>
      <c r="X288" s="41"/>
      <c r="AC288" s="29">
        <v>212</v>
      </c>
    </row>
    <row r="289" spans="1:29" x14ac:dyDescent="0.2">
      <c r="A289" s="30" t="s">
        <v>2937</v>
      </c>
      <c r="B289" s="29">
        <v>80</v>
      </c>
      <c r="N289" s="34"/>
      <c r="Q289" s="34"/>
      <c r="S289" s="34"/>
      <c r="U289" s="42"/>
      <c r="V289" s="44"/>
      <c r="X289" s="41"/>
      <c r="AC289" s="29">
        <v>212</v>
      </c>
    </row>
    <row r="290" spans="1:29" x14ac:dyDescent="0.2">
      <c r="A290" s="30" t="s">
        <v>2937</v>
      </c>
      <c r="B290" s="29">
        <v>90</v>
      </c>
      <c r="N290" s="34"/>
      <c r="Q290" s="34"/>
      <c r="S290" s="34"/>
      <c r="U290" s="42"/>
      <c r="V290" s="44"/>
      <c r="X290" s="41"/>
      <c r="AC290" s="29">
        <v>212</v>
      </c>
    </row>
    <row r="291" spans="1:29" x14ac:dyDescent="0.2">
      <c r="A291" s="30" t="s">
        <v>2937</v>
      </c>
      <c r="B291" s="29">
        <v>100</v>
      </c>
      <c r="N291" s="34"/>
      <c r="Q291" s="34"/>
      <c r="S291" s="34"/>
      <c r="U291" s="42"/>
      <c r="V291" s="44"/>
      <c r="X291" s="41"/>
      <c r="AC291" s="29">
        <v>213</v>
      </c>
    </row>
    <row r="292" spans="1:29" x14ac:dyDescent="0.2">
      <c r="A292" s="30" t="s">
        <v>2937</v>
      </c>
      <c r="B292" s="29">
        <v>110</v>
      </c>
      <c r="N292" s="34"/>
      <c r="Q292" s="34"/>
      <c r="S292" s="34"/>
      <c r="U292" s="42"/>
      <c r="V292" s="44"/>
      <c r="X292" s="41"/>
      <c r="AC292" s="29">
        <v>213</v>
      </c>
    </row>
    <row r="293" spans="1:29" x14ac:dyDescent="0.2">
      <c r="A293" s="30" t="s">
        <v>2937</v>
      </c>
      <c r="B293" s="29">
        <v>120</v>
      </c>
      <c r="N293" s="34"/>
      <c r="Q293" s="34"/>
      <c r="S293" s="34"/>
      <c r="U293" s="42"/>
      <c r="V293" s="44"/>
      <c r="X293" s="41"/>
      <c r="AC293" s="29">
        <v>214</v>
      </c>
    </row>
    <row r="294" spans="1:29" x14ac:dyDescent="0.2">
      <c r="A294" s="30" t="s">
        <v>2937</v>
      </c>
      <c r="B294" s="29">
        <v>130</v>
      </c>
      <c r="N294" s="34"/>
      <c r="Q294" s="34"/>
      <c r="S294" s="34"/>
      <c r="U294" s="42"/>
      <c r="V294" s="44"/>
      <c r="X294" s="41"/>
      <c r="AC294" s="29">
        <v>214</v>
      </c>
    </row>
    <row r="295" spans="1:29" x14ac:dyDescent="0.2">
      <c r="A295" s="30" t="s">
        <v>2937</v>
      </c>
      <c r="B295" s="29">
        <v>140</v>
      </c>
      <c r="N295" s="34"/>
      <c r="Q295" s="34"/>
      <c r="S295" s="34"/>
      <c r="U295" s="42"/>
      <c r="V295" s="44"/>
      <c r="X295" s="41"/>
      <c r="AC295" s="29">
        <v>215</v>
      </c>
    </row>
    <row r="296" spans="1:29" x14ac:dyDescent="0.2">
      <c r="A296" s="30" t="s">
        <v>2937</v>
      </c>
      <c r="B296" s="29">
        <v>150</v>
      </c>
      <c r="N296" s="34"/>
      <c r="Q296" s="34"/>
      <c r="S296" s="34"/>
      <c r="U296" s="42"/>
      <c r="V296" s="44"/>
      <c r="X296" s="41"/>
      <c r="AC296" s="29">
        <v>224</v>
      </c>
    </row>
    <row r="297" spans="1:29" x14ac:dyDescent="0.2">
      <c r="A297" s="30" t="s">
        <v>2937</v>
      </c>
      <c r="B297" s="29">
        <v>160</v>
      </c>
      <c r="N297" s="34"/>
      <c r="Q297" s="34"/>
      <c r="S297" s="34"/>
      <c r="U297" s="42"/>
      <c r="V297" s="44"/>
      <c r="X297" s="41"/>
      <c r="AC297" s="29">
        <v>224</v>
      </c>
    </row>
    <row r="298" spans="1:29" x14ac:dyDescent="0.2">
      <c r="A298" s="30" t="s">
        <v>2937</v>
      </c>
      <c r="B298" s="29">
        <v>170</v>
      </c>
      <c r="N298" s="34"/>
      <c r="Q298" s="34"/>
      <c r="S298" s="34"/>
      <c r="U298" s="42"/>
      <c r="V298" s="44"/>
      <c r="X298" s="41"/>
      <c r="AC298" s="29">
        <v>250</v>
      </c>
    </row>
    <row r="299" spans="1:29" x14ac:dyDescent="0.2">
      <c r="A299" s="30" t="s">
        <v>2937</v>
      </c>
      <c r="B299" s="29">
        <v>180</v>
      </c>
      <c r="N299" s="34"/>
      <c r="Q299" s="34"/>
      <c r="S299" s="34"/>
      <c r="U299" s="42"/>
      <c r="V299" s="44"/>
      <c r="X299" s="41"/>
      <c r="AC299" s="29">
        <v>254</v>
      </c>
    </row>
    <row r="300" spans="1:29" x14ac:dyDescent="0.2">
      <c r="A300" s="30" t="s">
        <v>2937</v>
      </c>
      <c r="B300" s="29">
        <v>190</v>
      </c>
      <c r="N300" s="34"/>
      <c r="Q300" s="34"/>
      <c r="S300" s="34"/>
      <c r="U300" s="42"/>
      <c r="V300" s="44"/>
      <c r="X300" s="41"/>
      <c r="AC300" s="29">
        <v>256</v>
      </c>
    </row>
    <row r="301" spans="1:29" x14ac:dyDescent="0.2">
      <c r="A301" s="30" t="s">
        <v>2937</v>
      </c>
      <c r="B301" s="29">
        <v>200</v>
      </c>
      <c r="N301" s="34"/>
      <c r="Q301" s="34"/>
      <c r="S301" s="34"/>
      <c r="U301" s="42"/>
      <c r="V301" s="44"/>
      <c r="X301" s="41"/>
      <c r="AC301" s="29">
        <v>256</v>
      </c>
    </row>
    <row r="302" spans="1:29" x14ac:dyDescent="0.2">
      <c r="A302" s="30" t="s">
        <v>2937</v>
      </c>
      <c r="B302" s="29">
        <v>210</v>
      </c>
      <c r="N302" s="34"/>
      <c r="Q302" s="34"/>
      <c r="S302" s="34"/>
      <c r="U302" s="42"/>
      <c r="V302" s="44"/>
      <c r="X302" s="41"/>
      <c r="AC302" s="29">
        <v>257</v>
      </c>
    </row>
    <row r="303" spans="1:29" x14ac:dyDescent="0.2">
      <c r="A303" s="30" t="s">
        <v>2937</v>
      </c>
      <c r="B303" s="29">
        <v>220</v>
      </c>
      <c r="N303" s="34"/>
      <c r="Q303" s="34"/>
      <c r="S303" s="34"/>
      <c r="U303" s="42"/>
      <c r="V303" s="44"/>
      <c r="X303" s="41"/>
      <c r="AC303" s="29">
        <v>261</v>
      </c>
    </row>
    <row r="304" spans="1:29" x14ac:dyDescent="0.2">
      <c r="A304" s="30" t="s">
        <v>2937</v>
      </c>
      <c r="B304" s="29">
        <v>230</v>
      </c>
      <c r="N304" s="34"/>
      <c r="Q304" s="34"/>
      <c r="S304" s="34"/>
      <c r="U304" s="42"/>
      <c r="V304" s="44"/>
      <c r="X304" s="41"/>
      <c r="AC304" s="29">
        <v>264</v>
      </c>
    </row>
    <row r="305" spans="1:29" x14ac:dyDescent="0.2">
      <c r="A305" s="30" t="s">
        <v>2937</v>
      </c>
      <c r="B305" s="29">
        <v>240</v>
      </c>
      <c r="N305" s="34"/>
      <c r="Q305" s="34"/>
      <c r="S305" s="34"/>
      <c r="U305" s="42"/>
      <c r="V305" s="44"/>
      <c r="X305" s="41"/>
      <c r="AC305" s="29">
        <v>270</v>
      </c>
    </row>
    <row r="306" spans="1:29" x14ac:dyDescent="0.2">
      <c r="A306" s="30" t="s">
        <v>2937</v>
      </c>
      <c r="B306" s="29">
        <v>250</v>
      </c>
      <c r="N306" s="34"/>
      <c r="Q306" s="34"/>
      <c r="S306" s="34"/>
      <c r="U306" s="42"/>
      <c r="V306" s="44"/>
      <c r="X306" s="41"/>
      <c r="AC306" s="29">
        <v>275</v>
      </c>
    </row>
    <row r="307" spans="1:29" x14ac:dyDescent="0.2">
      <c r="A307" s="30" t="s">
        <v>2937</v>
      </c>
      <c r="B307" s="29">
        <v>260</v>
      </c>
      <c r="N307" s="34"/>
      <c r="Q307" s="34"/>
      <c r="S307" s="34"/>
      <c r="U307" s="42"/>
      <c r="V307" s="44"/>
      <c r="X307" s="41"/>
    </row>
    <row r="308" spans="1:29" x14ac:dyDescent="0.2">
      <c r="A308" s="30" t="s">
        <v>2937</v>
      </c>
      <c r="B308" s="29">
        <v>270</v>
      </c>
      <c r="N308" s="34"/>
      <c r="Q308" s="34"/>
      <c r="S308" s="34"/>
      <c r="U308" s="42"/>
      <c r="V308" s="44"/>
      <c r="X308" s="41"/>
    </row>
    <row r="309" spans="1:29" x14ac:dyDescent="0.2">
      <c r="A309" s="30" t="s">
        <v>2937</v>
      </c>
      <c r="B309" s="29">
        <v>280</v>
      </c>
      <c r="N309" s="34"/>
      <c r="Q309" s="34"/>
      <c r="S309" s="34"/>
      <c r="U309" s="42"/>
      <c r="V309" s="44"/>
      <c r="X309" s="41"/>
    </row>
    <row r="310" spans="1:29" x14ac:dyDescent="0.2">
      <c r="A310" s="30" t="s">
        <v>2937</v>
      </c>
      <c r="B310" s="29">
        <v>290</v>
      </c>
      <c r="N310" s="34"/>
      <c r="Q310" s="34"/>
      <c r="S310" s="34"/>
      <c r="U310" s="42"/>
      <c r="V310" s="44"/>
      <c r="X310" s="41"/>
    </row>
    <row r="311" spans="1:29" x14ac:dyDescent="0.2">
      <c r="A311" s="30" t="s">
        <v>2937</v>
      </c>
      <c r="B311" s="29">
        <v>300</v>
      </c>
      <c r="N311" s="34"/>
      <c r="Q311" s="34"/>
      <c r="S311" s="34"/>
      <c r="U311" s="42"/>
      <c r="V311" s="44"/>
      <c r="X311" s="41"/>
    </row>
    <row r="312" spans="1:29" x14ac:dyDescent="0.2">
      <c r="A312" s="30" t="s">
        <v>2937</v>
      </c>
      <c r="B312" s="29">
        <v>310</v>
      </c>
      <c r="N312" s="34"/>
      <c r="Q312" s="34"/>
      <c r="S312" s="34"/>
      <c r="U312" s="42"/>
      <c r="V312" s="44"/>
      <c r="X312" s="41"/>
    </row>
    <row r="313" spans="1:29" x14ac:dyDescent="0.2">
      <c r="A313" s="30" t="s">
        <v>2937</v>
      </c>
      <c r="B313" s="29">
        <v>320</v>
      </c>
      <c r="N313" s="34"/>
      <c r="Q313" s="34"/>
      <c r="S313" s="34"/>
      <c r="U313" s="42"/>
      <c r="V313" s="44"/>
      <c r="X313" s="41"/>
    </row>
    <row r="314" spans="1:29" x14ac:dyDescent="0.2">
      <c r="A314" s="30" t="s">
        <v>2937</v>
      </c>
      <c r="B314" s="29">
        <v>330</v>
      </c>
      <c r="N314" s="34"/>
      <c r="Q314" s="34"/>
      <c r="S314" s="34"/>
      <c r="U314" s="42"/>
      <c r="V314" s="44"/>
      <c r="X314" s="41"/>
    </row>
    <row r="315" spans="1:29" x14ac:dyDescent="0.2">
      <c r="A315" s="30" t="s">
        <v>2937</v>
      </c>
      <c r="B315" s="29">
        <v>340</v>
      </c>
      <c r="N315" s="34"/>
      <c r="Q315" s="34"/>
      <c r="S315" s="34"/>
      <c r="U315" s="42"/>
      <c r="V315" s="44"/>
      <c r="X315" s="41"/>
    </row>
    <row r="316" spans="1:29" x14ac:dyDescent="0.2">
      <c r="A316" s="30" t="s">
        <v>2937</v>
      </c>
      <c r="B316" s="29">
        <v>350</v>
      </c>
      <c r="N316" s="34"/>
      <c r="Q316" s="34"/>
      <c r="S316" s="34"/>
      <c r="U316" s="42"/>
      <c r="V316" s="44"/>
      <c r="X316" s="41"/>
    </row>
    <row r="317" spans="1:29" x14ac:dyDescent="0.2">
      <c r="A317" s="30" t="s">
        <v>2937</v>
      </c>
      <c r="B317" s="29">
        <v>360</v>
      </c>
      <c r="N317" s="34"/>
      <c r="Q317" s="34"/>
      <c r="S317" s="34"/>
      <c r="U317" s="42"/>
      <c r="V317" s="44"/>
      <c r="X317" s="41"/>
    </row>
    <row r="318" spans="1:29" x14ac:dyDescent="0.2">
      <c r="A318" s="30" t="s">
        <v>2937</v>
      </c>
      <c r="B318" s="29">
        <v>370</v>
      </c>
      <c r="N318" s="34"/>
      <c r="Q318" s="34"/>
      <c r="S318" s="34"/>
      <c r="U318" s="42"/>
      <c r="V318" s="44"/>
      <c r="X318" s="41"/>
    </row>
    <row r="319" spans="1:29" x14ac:dyDescent="0.2">
      <c r="A319" s="30" t="s">
        <v>2937</v>
      </c>
      <c r="B319" s="29">
        <v>380</v>
      </c>
      <c r="N319" s="34"/>
      <c r="Q319" s="34"/>
      <c r="S319" s="34"/>
      <c r="U319" s="42"/>
      <c r="V319" s="44"/>
      <c r="X319" s="41"/>
    </row>
    <row r="320" spans="1:29" x14ac:dyDescent="0.2">
      <c r="A320" s="30" t="s">
        <v>2937</v>
      </c>
      <c r="B320" s="29">
        <v>390</v>
      </c>
      <c r="N320" s="34"/>
      <c r="Q320" s="34"/>
      <c r="S320" s="34"/>
      <c r="U320" s="42"/>
      <c r="V320" s="44"/>
      <c r="X320" s="41"/>
    </row>
    <row r="321" spans="1:24" x14ac:dyDescent="0.2">
      <c r="A321" s="30" t="s">
        <v>2937</v>
      </c>
      <c r="B321" s="29">
        <v>400</v>
      </c>
      <c r="N321" s="34"/>
      <c r="Q321" s="34"/>
      <c r="S321" s="34"/>
      <c r="U321" s="42"/>
      <c r="V321" s="44"/>
      <c r="X321" s="41"/>
    </row>
    <row r="322" spans="1:24" x14ac:dyDescent="0.2">
      <c r="A322" s="30" t="s">
        <v>2937</v>
      </c>
      <c r="B322" s="29">
        <v>410</v>
      </c>
      <c r="N322" s="34"/>
      <c r="Q322" s="34"/>
      <c r="S322" s="34"/>
      <c r="U322" s="42"/>
      <c r="V322" s="44"/>
      <c r="X322" s="41"/>
    </row>
    <row r="323" spans="1:24" x14ac:dyDescent="0.2">
      <c r="A323" s="30" t="s">
        <v>2937</v>
      </c>
      <c r="B323" s="29">
        <v>420</v>
      </c>
      <c r="N323" s="34"/>
      <c r="Q323" s="34"/>
      <c r="S323" s="34"/>
      <c r="U323" s="42"/>
      <c r="V323" s="44"/>
      <c r="X323" s="41"/>
    </row>
    <row r="324" spans="1:24" x14ac:dyDescent="0.2">
      <c r="A324" s="30" t="s">
        <v>2937</v>
      </c>
      <c r="B324" s="29">
        <v>430</v>
      </c>
      <c r="N324" s="34"/>
      <c r="Q324" s="34"/>
      <c r="S324" s="34"/>
      <c r="U324" s="42"/>
      <c r="V324" s="44"/>
      <c r="X324" s="41"/>
    </row>
    <row r="325" spans="1:24" x14ac:dyDescent="0.2">
      <c r="A325" s="30" t="s">
        <v>2937</v>
      </c>
      <c r="B325" s="29">
        <v>440</v>
      </c>
      <c r="N325" s="34"/>
      <c r="Q325" s="34"/>
      <c r="S325" s="34"/>
      <c r="U325" s="42"/>
      <c r="V325" s="44"/>
      <c r="X325" s="41"/>
    </row>
    <row r="326" spans="1:24" x14ac:dyDescent="0.2">
      <c r="A326" s="30" t="s">
        <v>2937</v>
      </c>
      <c r="B326" s="29">
        <v>450</v>
      </c>
      <c r="N326" s="34"/>
      <c r="Q326" s="34"/>
      <c r="S326" s="34"/>
      <c r="U326" s="42"/>
      <c r="V326" s="44"/>
      <c r="X326" s="41"/>
    </row>
    <row r="327" spans="1:24" x14ac:dyDescent="0.2">
      <c r="A327" s="30" t="s">
        <v>2937</v>
      </c>
      <c r="B327" s="29">
        <v>460</v>
      </c>
      <c r="N327" s="34"/>
      <c r="Q327" s="34"/>
      <c r="S327" s="34"/>
      <c r="U327" s="42"/>
      <c r="V327" s="44"/>
      <c r="X327" s="41"/>
    </row>
    <row r="328" spans="1:24" x14ac:dyDescent="0.2">
      <c r="A328" s="30" t="s">
        <v>2937</v>
      </c>
      <c r="B328" s="29">
        <v>470</v>
      </c>
      <c r="N328" s="34"/>
      <c r="Q328" s="34"/>
      <c r="S328" s="34"/>
      <c r="U328" s="42"/>
      <c r="V328" s="44"/>
      <c r="X328" s="41"/>
    </row>
    <row r="329" spans="1:24" x14ac:dyDescent="0.2">
      <c r="A329" s="30" t="s">
        <v>2937</v>
      </c>
      <c r="B329" s="29">
        <v>480</v>
      </c>
      <c r="N329" s="34"/>
      <c r="Q329" s="34"/>
      <c r="S329" s="34"/>
      <c r="U329" s="42"/>
      <c r="V329" s="44"/>
      <c r="X329" s="41"/>
    </row>
    <row r="330" spans="1:24" hidden="1" x14ac:dyDescent="0.2">
      <c r="A330" s="30" t="s">
        <v>2937</v>
      </c>
      <c r="B330" s="29">
        <v>490</v>
      </c>
      <c r="N330" s="34"/>
      <c r="Q330" s="34"/>
      <c r="S330" s="34"/>
      <c r="U330" s="42"/>
      <c r="V330" s="44"/>
      <c r="X330" s="41"/>
    </row>
    <row r="331" spans="1:24" hidden="1" x14ac:dyDescent="0.2">
      <c r="A331" s="30" t="s">
        <v>2937</v>
      </c>
      <c r="B331" s="29">
        <v>500</v>
      </c>
      <c r="N331" s="34"/>
      <c r="Q331" s="34"/>
      <c r="S331" s="34"/>
      <c r="U331" s="42"/>
      <c r="V331" s="44"/>
      <c r="X331" s="41"/>
    </row>
    <row r="332" spans="1:24" hidden="1" x14ac:dyDescent="0.2">
      <c r="A332" s="30" t="s">
        <v>2937</v>
      </c>
      <c r="B332" s="29">
        <v>510</v>
      </c>
      <c r="N332" s="34"/>
      <c r="Q332" s="34"/>
      <c r="S332" s="34"/>
      <c r="U332" s="42"/>
      <c r="V332" s="44"/>
      <c r="X332" s="41"/>
    </row>
    <row r="333" spans="1:24" hidden="1" x14ac:dyDescent="0.2">
      <c r="A333" s="30" t="s">
        <v>2937</v>
      </c>
      <c r="B333" s="29">
        <v>520</v>
      </c>
      <c r="N333" s="34"/>
      <c r="Q333" s="34"/>
      <c r="S333" s="34"/>
      <c r="U333" s="42"/>
      <c r="V333" s="44"/>
      <c r="X333" s="41"/>
    </row>
    <row r="334" spans="1:24" hidden="1" x14ac:dyDescent="0.2">
      <c r="A334" s="30" t="s">
        <v>2937</v>
      </c>
      <c r="B334" s="29">
        <v>530</v>
      </c>
      <c r="N334" s="34"/>
      <c r="Q334" s="34"/>
      <c r="S334" s="34"/>
      <c r="U334" s="42"/>
      <c r="V334" s="44"/>
      <c r="X334" s="41"/>
    </row>
    <row r="335" spans="1:24" hidden="1" x14ac:dyDescent="0.2">
      <c r="A335" s="30" t="s">
        <v>2937</v>
      </c>
      <c r="B335" s="29">
        <v>540</v>
      </c>
      <c r="N335" s="34"/>
      <c r="Q335" s="34"/>
      <c r="S335" s="34"/>
      <c r="U335" s="42"/>
      <c r="V335" s="44"/>
      <c r="X335" s="41"/>
    </row>
    <row r="336" spans="1:24" hidden="1" x14ac:dyDescent="0.2">
      <c r="A336" s="30" t="s">
        <v>2937</v>
      </c>
      <c r="B336" s="29">
        <v>550</v>
      </c>
      <c r="N336" s="34"/>
      <c r="Q336" s="34"/>
      <c r="S336" s="34"/>
      <c r="U336" s="42"/>
      <c r="V336" s="44"/>
      <c r="X336" s="41"/>
    </row>
    <row r="337" spans="1:24" hidden="1" x14ac:dyDescent="0.2">
      <c r="A337" s="30" t="s">
        <v>2937</v>
      </c>
      <c r="B337" s="29">
        <v>560</v>
      </c>
      <c r="N337" s="34"/>
      <c r="Q337" s="34"/>
      <c r="S337" s="34"/>
      <c r="U337" s="42"/>
      <c r="V337" s="44"/>
      <c r="X337" s="41"/>
    </row>
    <row r="338" spans="1:24" hidden="1" x14ac:dyDescent="0.2">
      <c r="A338" s="30" t="s">
        <v>2937</v>
      </c>
      <c r="B338" s="29">
        <v>570</v>
      </c>
      <c r="N338" s="34"/>
      <c r="Q338" s="34"/>
      <c r="S338" s="34"/>
      <c r="U338" s="42"/>
      <c r="V338" s="44"/>
      <c r="X338" s="41"/>
    </row>
    <row r="339" spans="1:24" hidden="1" x14ac:dyDescent="0.2">
      <c r="A339" s="30" t="s">
        <v>2937</v>
      </c>
      <c r="B339" s="29">
        <v>580</v>
      </c>
      <c r="N339" s="34"/>
      <c r="Q339" s="34"/>
      <c r="S339" s="34"/>
      <c r="U339" s="42"/>
      <c r="V339" s="44"/>
      <c r="X339" s="41"/>
    </row>
    <row r="340" spans="1:24" hidden="1" x14ac:dyDescent="0.2">
      <c r="A340" s="30" t="s">
        <v>2937</v>
      </c>
      <c r="B340" s="29">
        <v>590</v>
      </c>
      <c r="N340" s="34"/>
      <c r="Q340" s="34"/>
      <c r="S340" s="34"/>
      <c r="U340" s="42"/>
      <c r="V340" s="44"/>
      <c r="X340" s="41"/>
    </row>
    <row r="341" spans="1:24" hidden="1" x14ac:dyDescent="0.2">
      <c r="A341" s="30" t="s">
        <v>2937</v>
      </c>
      <c r="B341" s="29">
        <v>600</v>
      </c>
      <c r="N341" s="34"/>
      <c r="Q341" s="34"/>
      <c r="S341" s="34"/>
      <c r="U341" s="42"/>
      <c r="V341" s="44"/>
      <c r="X341" s="41"/>
    </row>
    <row r="342" spans="1:24" hidden="1" x14ac:dyDescent="0.2">
      <c r="A342" s="30" t="s">
        <v>2937</v>
      </c>
      <c r="B342" s="29">
        <v>610</v>
      </c>
      <c r="N342" s="34"/>
      <c r="Q342" s="34"/>
      <c r="S342" s="34"/>
      <c r="U342" s="42"/>
      <c r="V342" s="44"/>
      <c r="X342" s="41"/>
    </row>
    <row r="343" spans="1:24" hidden="1" x14ac:dyDescent="0.2">
      <c r="A343" s="30" t="s">
        <v>2937</v>
      </c>
      <c r="B343" s="29">
        <v>620</v>
      </c>
      <c r="N343" s="34"/>
      <c r="Q343" s="34"/>
      <c r="S343" s="34"/>
      <c r="U343" s="42"/>
      <c r="V343" s="44"/>
      <c r="X343" s="41"/>
    </row>
    <row r="344" spans="1:24" hidden="1" x14ac:dyDescent="0.2">
      <c r="A344" s="30" t="s">
        <v>2937</v>
      </c>
      <c r="B344" s="29">
        <v>630</v>
      </c>
      <c r="N344" s="34"/>
      <c r="Q344" s="34"/>
      <c r="S344" s="34"/>
      <c r="U344" s="42"/>
      <c r="V344" s="44"/>
      <c r="X344" s="41"/>
    </row>
    <row r="345" spans="1:24" hidden="1" x14ac:dyDescent="0.2">
      <c r="A345" s="30" t="s">
        <v>2937</v>
      </c>
      <c r="B345" s="29">
        <v>640</v>
      </c>
      <c r="N345" s="34"/>
      <c r="Q345" s="34"/>
      <c r="S345" s="34"/>
      <c r="U345" s="42"/>
      <c r="V345" s="44"/>
      <c r="X345" s="41"/>
    </row>
    <row r="346" spans="1:24" hidden="1" x14ac:dyDescent="0.2">
      <c r="A346" s="30" t="s">
        <v>2937</v>
      </c>
      <c r="B346" s="29">
        <v>650</v>
      </c>
      <c r="N346" s="34"/>
      <c r="Q346" s="34"/>
      <c r="S346" s="34"/>
      <c r="U346" s="42"/>
      <c r="V346" s="44"/>
      <c r="X346" s="41"/>
    </row>
    <row r="347" spans="1:24" hidden="1" x14ac:dyDescent="0.2">
      <c r="A347" s="30" t="s">
        <v>2937</v>
      </c>
      <c r="B347" s="29">
        <v>660</v>
      </c>
      <c r="N347" s="34"/>
      <c r="Q347" s="34"/>
      <c r="S347" s="34"/>
      <c r="U347" s="42"/>
      <c r="V347" s="44"/>
      <c r="X347" s="41"/>
    </row>
    <row r="348" spans="1:24" hidden="1" x14ac:dyDescent="0.2">
      <c r="A348" s="30" t="s">
        <v>2937</v>
      </c>
      <c r="B348" s="29">
        <v>670</v>
      </c>
      <c r="N348" s="34"/>
      <c r="Q348" s="34"/>
      <c r="S348" s="34"/>
      <c r="U348" s="42"/>
      <c r="V348" s="44"/>
      <c r="X348" s="41"/>
    </row>
    <row r="349" spans="1:24" hidden="1" x14ac:dyDescent="0.2">
      <c r="A349" s="30" t="s">
        <v>2937</v>
      </c>
      <c r="B349" s="29">
        <v>680</v>
      </c>
      <c r="N349" s="34"/>
      <c r="Q349" s="34"/>
      <c r="S349" s="34"/>
      <c r="U349" s="42"/>
      <c r="V349" s="44"/>
      <c r="X349" s="41"/>
    </row>
    <row r="350" spans="1:24" hidden="1" x14ac:dyDescent="0.2">
      <c r="A350" s="30" t="s">
        <v>2937</v>
      </c>
      <c r="B350" s="29">
        <v>690</v>
      </c>
      <c r="N350" s="34"/>
      <c r="Q350" s="34"/>
      <c r="S350" s="34"/>
      <c r="U350" s="42"/>
      <c r="V350" s="44"/>
      <c r="X350" s="41"/>
    </row>
    <row r="351" spans="1:24" hidden="1" x14ac:dyDescent="0.2">
      <c r="A351" s="30" t="s">
        <v>2937</v>
      </c>
      <c r="B351" s="29">
        <v>700</v>
      </c>
      <c r="N351" s="34"/>
      <c r="Q351" s="34"/>
      <c r="S351" s="34"/>
      <c r="U351" s="42"/>
      <c r="V351" s="44"/>
      <c r="X351" s="41"/>
    </row>
    <row r="352" spans="1:24" hidden="1" x14ac:dyDescent="0.2">
      <c r="A352" s="30" t="s">
        <v>2937</v>
      </c>
      <c r="B352" s="29">
        <v>710</v>
      </c>
      <c r="N352" s="34"/>
      <c r="Q352" s="34"/>
      <c r="S352" s="34"/>
      <c r="U352" s="42"/>
      <c r="V352" s="44"/>
      <c r="X352" s="41"/>
    </row>
    <row r="353" spans="1:24" hidden="1" x14ac:dyDescent="0.2">
      <c r="A353" s="30" t="s">
        <v>2937</v>
      </c>
      <c r="B353" s="29">
        <v>720</v>
      </c>
      <c r="N353" s="34"/>
      <c r="Q353" s="34"/>
      <c r="S353" s="34"/>
      <c r="U353" s="42"/>
      <c r="V353" s="44"/>
      <c r="X353" s="41"/>
    </row>
    <row r="354" spans="1:24" hidden="1" x14ac:dyDescent="0.2">
      <c r="A354" s="30" t="s">
        <v>2937</v>
      </c>
      <c r="B354" s="29">
        <v>730</v>
      </c>
      <c r="N354" s="34"/>
      <c r="Q354" s="34"/>
      <c r="S354" s="34"/>
      <c r="U354" s="42"/>
      <c r="V354" s="44"/>
      <c r="X354" s="41"/>
    </row>
    <row r="355" spans="1:24" hidden="1" x14ac:dyDescent="0.2">
      <c r="A355" s="30" t="s">
        <v>2937</v>
      </c>
      <c r="B355" s="29">
        <v>740</v>
      </c>
      <c r="N355" s="34"/>
      <c r="Q355" s="34"/>
      <c r="S355" s="34"/>
      <c r="U355" s="42"/>
      <c r="V355" s="44"/>
      <c r="X355" s="41"/>
    </row>
    <row r="356" spans="1:24" hidden="1" x14ac:dyDescent="0.2">
      <c r="A356" s="30" t="s">
        <v>2937</v>
      </c>
      <c r="B356" s="29">
        <v>750</v>
      </c>
      <c r="N356" s="34"/>
      <c r="Q356" s="34"/>
      <c r="S356" s="34"/>
      <c r="U356" s="42"/>
      <c r="V356" s="44"/>
      <c r="X356" s="41"/>
    </row>
    <row r="357" spans="1:24" hidden="1" x14ac:dyDescent="0.2">
      <c r="A357" s="30" t="s">
        <v>2937</v>
      </c>
      <c r="B357" s="29">
        <v>760</v>
      </c>
      <c r="N357" s="34"/>
      <c r="Q357" s="34"/>
      <c r="S357" s="34"/>
      <c r="U357" s="42"/>
      <c r="V357" s="44"/>
      <c r="X357" s="41"/>
    </row>
    <row r="358" spans="1:24" hidden="1" x14ac:dyDescent="0.2">
      <c r="A358" s="30" t="s">
        <v>2937</v>
      </c>
      <c r="B358" s="29">
        <v>770</v>
      </c>
      <c r="N358" s="34"/>
      <c r="Q358" s="34"/>
      <c r="S358" s="34"/>
      <c r="U358" s="42"/>
      <c r="V358" s="44"/>
      <c r="X358" s="41"/>
    </row>
    <row r="359" spans="1:24" hidden="1" x14ac:dyDescent="0.2">
      <c r="A359" s="30" t="s">
        <v>2937</v>
      </c>
      <c r="B359" s="29">
        <v>780</v>
      </c>
      <c r="N359" s="34"/>
      <c r="Q359" s="34"/>
      <c r="S359" s="34"/>
      <c r="U359" s="42"/>
      <c r="V359" s="44"/>
      <c r="X359" s="41"/>
    </row>
    <row r="360" spans="1:24" hidden="1" x14ac:dyDescent="0.2">
      <c r="A360" s="30" t="s">
        <v>2937</v>
      </c>
      <c r="B360" s="29">
        <v>790</v>
      </c>
      <c r="N360" s="34"/>
      <c r="Q360" s="34"/>
      <c r="S360" s="34"/>
      <c r="U360" s="42"/>
      <c r="V360" s="44"/>
      <c r="X360" s="41"/>
    </row>
    <row r="361" spans="1:24" hidden="1" x14ac:dyDescent="0.2">
      <c r="A361" s="30" t="s">
        <v>2937</v>
      </c>
      <c r="B361" s="29">
        <v>800</v>
      </c>
      <c r="N361" s="34"/>
      <c r="Q361" s="34"/>
      <c r="S361" s="34"/>
      <c r="U361" s="42"/>
      <c r="V361" s="44"/>
      <c r="X361" s="41"/>
    </row>
    <row r="362" spans="1:24" hidden="1" x14ac:dyDescent="0.2">
      <c r="A362" s="30" t="s">
        <v>2937</v>
      </c>
      <c r="B362" s="29">
        <v>810</v>
      </c>
      <c r="N362" s="34"/>
      <c r="Q362" s="34"/>
      <c r="S362" s="34"/>
      <c r="U362" s="42"/>
      <c r="V362" s="44"/>
      <c r="X362" s="41"/>
    </row>
    <row r="363" spans="1:24" hidden="1" x14ac:dyDescent="0.2">
      <c r="A363" s="30" t="s">
        <v>2937</v>
      </c>
      <c r="B363" s="29">
        <v>820</v>
      </c>
      <c r="N363" s="34"/>
      <c r="Q363" s="34"/>
      <c r="S363" s="34"/>
      <c r="U363" s="42"/>
      <c r="V363" s="44"/>
      <c r="X363" s="41"/>
    </row>
    <row r="364" spans="1:24" hidden="1" x14ac:dyDescent="0.2">
      <c r="A364" s="30" t="s">
        <v>2937</v>
      </c>
      <c r="B364" s="29">
        <v>830</v>
      </c>
      <c r="N364" s="34"/>
      <c r="Q364" s="34"/>
      <c r="S364" s="34"/>
      <c r="U364" s="42"/>
      <c r="V364" s="44"/>
      <c r="X364" s="41"/>
    </row>
    <row r="365" spans="1:24" hidden="1" x14ac:dyDescent="0.2">
      <c r="A365" s="30" t="s">
        <v>2937</v>
      </c>
      <c r="B365" s="29">
        <v>840</v>
      </c>
      <c r="N365" s="34"/>
      <c r="Q365" s="34"/>
      <c r="S365" s="34"/>
      <c r="U365" s="42"/>
      <c r="V365" s="44"/>
      <c r="X365" s="41"/>
    </row>
    <row r="366" spans="1:24" hidden="1" x14ac:dyDescent="0.2">
      <c r="A366" s="30" t="s">
        <v>2937</v>
      </c>
      <c r="B366" s="29">
        <v>850</v>
      </c>
      <c r="N366" s="34"/>
      <c r="Q366" s="34"/>
      <c r="S366" s="34"/>
      <c r="U366" s="42"/>
      <c r="V366" s="44"/>
      <c r="X366" s="41"/>
    </row>
    <row r="367" spans="1:24" hidden="1" x14ac:dyDescent="0.2">
      <c r="A367" s="30" t="s">
        <v>2937</v>
      </c>
      <c r="B367" s="29">
        <v>860</v>
      </c>
      <c r="N367" s="34"/>
      <c r="Q367" s="34"/>
      <c r="S367" s="34"/>
      <c r="U367" s="42"/>
      <c r="V367" s="44"/>
      <c r="X367" s="41"/>
    </row>
    <row r="368" spans="1:24" hidden="1" x14ac:dyDescent="0.2">
      <c r="A368" s="30" t="s">
        <v>2937</v>
      </c>
      <c r="B368" s="29">
        <v>870</v>
      </c>
      <c r="N368" s="34"/>
      <c r="Q368" s="34"/>
      <c r="S368" s="34"/>
      <c r="U368" s="42"/>
      <c r="V368" s="44"/>
      <c r="X368" s="41"/>
    </row>
    <row r="369" spans="1:30" hidden="1" x14ac:dyDescent="0.2">
      <c r="A369" s="30" t="s">
        <v>2937</v>
      </c>
      <c r="B369" s="29">
        <v>880</v>
      </c>
      <c r="N369" s="34"/>
      <c r="Q369" s="34"/>
      <c r="S369" s="34"/>
      <c r="U369" s="42"/>
      <c r="V369" s="44"/>
      <c r="X369" s="41"/>
    </row>
    <row r="370" spans="1:30" hidden="1" x14ac:dyDescent="0.2">
      <c r="A370" s="30" t="s">
        <v>2937</v>
      </c>
      <c r="B370" s="29">
        <v>890</v>
      </c>
      <c r="N370" s="34"/>
      <c r="Q370" s="34"/>
      <c r="S370" s="34"/>
      <c r="U370" s="42"/>
      <c r="V370" s="44"/>
      <c r="X370" s="41"/>
    </row>
    <row r="371" spans="1:30" hidden="1" x14ac:dyDescent="0.2">
      <c r="A371" s="30" t="s">
        <v>2937</v>
      </c>
      <c r="B371" s="29">
        <v>900</v>
      </c>
      <c r="N371" s="34"/>
      <c r="Q371" s="34"/>
      <c r="S371" s="34"/>
      <c r="U371" s="42"/>
      <c r="V371" s="44"/>
      <c r="X371" s="41"/>
    </row>
    <row r="372" spans="1:30" hidden="1" x14ac:dyDescent="0.2">
      <c r="A372" s="30" t="s">
        <v>2937</v>
      </c>
      <c r="B372" s="29">
        <v>910</v>
      </c>
      <c r="N372" s="34"/>
      <c r="Q372" s="34"/>
      <c r="S372" s="34"/>
      <c r="U372" s="42"/>
      <c r="V372" s="44"/>
      <c r="X372" s="41"/>
    </row>
    <row r="373" spans="1:30" hidden="1" x14ac:dyDescent="0.2">
      <c r="A373" s="30" t="s">
        <v>2937</v>
      </c>
      <c r="B373" s="29">
        <v>920</v>
      </c>
      <c r="N373" s="34"/>
      <c r="Q373" s="34"/>
      <c r="S373" s="34"/>
      <c r="U373" s="42"/>
      <c r="V373" s="44"/>
      <c r="X373" s="41"/>
    </row>
    <row r="374" spans="1:30" hidden="1" x14ac:dyDescent="0.2">
      <c r="A374" s="30" t="s">
        <v>2937</v>
      </c>
      <c r="B374" s="29">
        <v>930</v>
      </c>
      <c r="N374" s="34"/>
      <c r="Q374" s="34"/>
      <c r="S374" s="34"/>
      <c r="U374" s="42"/>
      <c r="V374" s="44"/>
      <c r="X374" s="41"/>
    </row>
    <row r="375" spans="1:30" hidden="1" x14ac:dyDescent="0.2">
      <c r="A375" s="30" t="s">
        <v>2937</v>
      </c>
      <c r="B375" s="29">
        <v>940</v>
      </c>
      <c r="N375" s="34"/>
      <c r="Q375" s="34"/>
      <c r="S375" s="34"/>
      <c r="U375" s="42"/>
      <c r="V375" s="44"/>
      <c r="X375" s="41"/>
    </row>
    <row r="376" spans="1:30" hidden="1" x14ac:dyDescent="0.2">
      <c r="A376" s="30" t="s">
        <v>2937</v>
      </c>
      <c r="B376" s="29">
        <v>950</v>
      </c>
      <c r="N376" s="34"/>
      <c r="Q376" s="34"/>
      <c r="S376" s="34"/>
      <c r="U376" s="42"/>
      <c r="V376" s="44"/>
      <c r="X376" s="41"/>
    </row>
    <row r="377" spans="1:30" hidden="1" x14ac:dyDescent="0.2">
      <c r="A377" s="30" t="s">
        <v>2937</v>
      </c>
      <c r="B377" s="29">
        <v>960</v>
      </c>
      <c r="N377" s="34"/>
      <c r="Q377" s="34"/>
      <c r="S377" s="34"/>
      <c r="U377" s="42"/>
      <c r="V377" s="44"/>
      <c r="X377" s="41"/>
    </row>
    <row r="378" spans="1:30" hidden="1" x14ac:dyDescent="0.2">
      <c r="A378" s="30" t="s">
        <v>2937</v>
      </c>
      <c r="B378" s="29">
        <v>970</v>
      </c>
      <c r="N378" s="34"/>
      <c r="Q378" s="34"/>
      <c r="S378" s="34"/>
      <c r="U378" s="42"/>
      <c r="V378" s="44"/>
      <c r="X378" s="41"/>
    </row>
    <row r="379" spans="1:30" hidden="1" x14ac:dyDescent="0.2">
      <c r="A379" s="30" t="s">
        <v>2937</v>
      </c>
      <c r="B379" s="29">
        <v>980</v>
      </c>
      <c r="N379" s="34"/>
      <c r="Q379" s="34"/>
      <c r="S379" s="34"/>
      <c r="U379" s="42"/>
      <c r="V379" s="44"/>
      <c r="X379" s="41"/>
    </row>
    <row r="380" spans="1:30" hidden="1" x14ac:dyDescent="0.2">
      <c r="A380" s="30" t="s">
        <v>2937</v>
      </c>
      <c r="B380" s="29">
        <v>990</v>
      </c>
      <c r="N380" s="34"/>
      <c r="Q380" s="34"/>
      <c r="S380" s="34"/>
      <c r="U380" s="42"/>
      <c r="V380" s="44"/>
      <c r="X380" s="41"/>
    </row>
    <row r="381" spans="1:30" hidden="1" x14ac:dyDescent="0.2">
      <c r="A381" s="30" t="s">
        <v>2937</v>
      </c>
      <c r="B381" s="29">
        <v>1000</v>
      </c>
      <c r="N381" s="34"/>
      <c r="Q381" s="34"/>
      <c r="S381" s="34"/>
      <c r="U381" s="42"/>
      <c r="V381" s="44"/>
      <c r="X381" s="41"/>
    </row>
    <row r="382" spans="1:30" hidden="1" x14ac:dyDescent="0.2">
      <c r="A382" s="30" t="s">
        <v>2937</v>
      </c>
      <c r="B382" s="29">
        <v>486</v>
      </c>
      <c r="C382" s="29">
        <v>1</v>
      </c>
      <c r="D382" s="29">
        <v>385</v>
      </c>
      <c r="E382" s="29">
        <v>56327</v>
      </c>
      <c r="F382" s="29">
        <v>19741</v>
      </c>
      <c r="G382" s="29">
        <v>19625</v>
      </c>
      <c r="H382" s="29">
        <v>76759</v>
      </c>
      <c r="I382" s="29">
        <v>12247</v>
      </c>
      <c r="J382" s="29">
        <v>148144864</v>
      </c>
      <c r="K382" s="29">
        <v>426</v>
      </c>
      <c r="L382" s="29">
        <v>808</v>
      </c>
      <c r="N382" s="34"/>
      <c r="O382" s="29">
        <f t="shared" si="54"/>
        <v>617</v>
      </c>
      <c r="P382" s="32" cm="1">
        <f t="array" ref="P382">WPNFACTOR(C382)</f>
        <v>2</v>
      </c>
      <c r="Q382" s="34" cm="1">
        <f t="array" ref="Q382">HPFACTOr(C382)</f>
        <v>5</v>
      </c>
      <c r="R382" s="33">
        <f t="shared" si="55"/>
        <v>308.5</v>
      </c>
      <c r="S382" s="34">
        <f t="shared" si="56"/>
        <v>29628972.800000001</v>
      </c>
      <c r="T382" s="33">
        <f t="shared" si="57"/>
        <v>308.5</v>
      </c>
      <c r="U382" s="42">
        <f t="shared" si="58"/>
        <v>29628972.800000001</v>
      </c>
      <c r="V382" s="44"/>
      <c r="W382" s="29">
        <f t="shared" si="60"/>
        <v>9140538108.8000011</v>
      </c>
      <c r="X382" s="41">
        <f t="shared" si="59"/>
        <v>33.089631954066697</v>
      </c>
      <c r="Y382" s="33">
        <f t="shared" si="61"/>
        <v>309.20246030448982</v>
      </c>
      <c r="Z382" s="33">
        <v>1.33</v>
      </c>
      <c r="AA382" s="29">
        <f t="shared" si="62"/>
        <v>411.23927220497148</v>
      </c>
      <c r="AB382" s="48">
        <f t="shared" si="63"/>
        <v>2090.8550265457566</v>
      </c>
      <c r="AD382" s="47">
        <f t="shared" si="64"/>
        <v>0</v>
      </c>
    </row>
    <row r="383" spans="1:30" hidden="1" x14ac:dyDescent="0.2">
      <c r="A383" s="30" t="s">
        <v>2937</v>
      </c>
      <c r="B383" s="29">
        <v>658</v>
      </c>
      <c r="C383" s="29">
        <v>1</v>
      </c>
      <c r="D383" s="29">
        <v>428</v>
      </c>
      <c r="E383" s="29">
        <v>59957</v>
      </c>
      <c r="F383" s="29">
        <v>21023</v>
      </c>
      <c r="G383" s="29">
        <v>20859</v>
      </c>
      <c r="H383" s="29">
        <v>81160</v>
      </c>
      <c r="I383" s="29">
        <v>13318</v>
      </c>
      <c r="J383" s="29">
        <v>174088192</v>
      </c>
      <c r="K383" s="29">
        <v>469</v>
      </c>
      <c r="L383" s="29">
        <v>943</v>
      </c>
      <c r="N383" s="34"/>
      <c r="O383" s="29">
        <f t="shared" si="54"/>
        <v>706</v>
      </c>
      <c r="P383" s="32" cm="1">
        <f t="array" ref="P383">WPNFACTOR(C383)</f>
        <v>2</v>
      </c>
      <c r="Q383" s="34" cm="1">
        <f t="array" ref="Q383">HPFACTOr(C383)</f>
        <v>5</v>
      </c>
      <c r="R383" s="33">
        <f t="shared" si="55"/>
        <v>353</v>
      </c>
      <c r="S383" s="34">
        <f t="shared" si="56"/>
        <v>34817638.399999999</v>
      </c>
      <c r="T383" s="33">
        <f t="shared" si="57"/>
        <v>353</v>
      </c>
      <c r="U383" s="42">
        <f t="shared" si="58"/>
        <v>34817638.399999999</v>
      </c>
      <c r="V383" s="44"/>
      <c r="W383" s="29">
        <f t="shared" si="60"/>
        <v>12290626355.199999</v>
      </c>
      <c r="X383" s="41">
        <f t="shared" si="59"/>
        <v>33.51683938911755</v>
      </c>
      <c r="Y383" s="33">
        <f t="shared" si="61"/>
        <v>332.96110486849921</v>
      </c>
      <c r="Z383" s="33">
        <v>1.33</v>
      </c>
      <c r="AA383" s="29">
        <f t="shared" si="62"/>
        <v>442.83826947510397</v>
      </c>
      <c r="AB383" s="48">
        <f t="shared" si="63"/>
        <v>2307.763704411419</v>
      </c>
      <c r="AD383" s="47">
        <f t="shared" si="64"/>
        <v>0</v>
      </c>
    </row>
    <row r="384" spans="1:30" hidden="1" x14ac:dyDescent="0.2">
      <c r="A384" s="30" t="s">
        <v>2937</v>
      </c>
      <c r="B384" s="29">
        <v>711</v>
      </c>
      <c r="C384" s="29">
        <v>1</v>
      </c>
      <c r="D384" s="29">
        <v>441</v>
      </c>
      <c r="E384" s="29">
        <v>67005</v>
      </c>
      <c r="F384" s="29">
        <v>23491</v>
      </c>
      <c r="G384" s="29">
        <v>23314</v>
      </c>
      <c r="H384" s="29">
        <v>90796</v>
      </c>
      <c r="I384" s="29">
        <v>14839</v>
      </c>
      <c r="J384" s="29">
        <v>200659168</v>
      </c>
      <c r="K384" s="29">
        <v>483</v>
      </c>
      <c r="L384" s="29">
        <v>990</v>
      </c>
      <c r="N384" s="34"/>
      <c r="O384" s="29">
        <f t="shared" si="54"/>
        <v>736.5</v>
      </c>
      <c r="P384" s="32" cm="1">
        <f t="array" ref="P384">WPNFACTOR(C384)</f>
        <v>2</v>
      </c>
      <c r="Q384" s="34" cm="1">
        <f t="array" ref="Q384">HPFACTOr(C384)</f>
        <v>5</v>
      </c>
      <c r="R384" s="33">
        <f t="shared" si="55"/>
        <v>368.25</v>
      </c>
      <c r="S384" s="34">
        <f t="shared" si="56"/>
        <v>40131833.600000001</v>
      </c>
      <c r="T384" s="33">
        <f t="shared" si="57"/>
        <v>368.25</v>
      </c>
      <c r="U384" s="42">
        <f t="shared" si="58"/>
        <v>40131833.600000001</v>
      </c>
      <c r="V384" s="44"/>
      <c r="W384" s="29">
        <f t="shared" si="60"/>
        <v>14778547723.200001</v>
      </c>
      <c r="X384" s="41">
        <f t="shared" si="59"/>
        <v>33.782785452763612</v>
      </c>
      <c r="Y384" s="33">
        <f t="shared" si="61"/>
        <v>348.66466743669889</v>
      </c>
      <c r="Z384" s="33">
        <v>1.33</v>
      </c>
      <c r="AA384" s="29">
        <f t="shared" si="62"/>
        <v>463.72400769080957</v>
      </c>
      <c r="AB384" s="48">
        <f t="shared" si="63"/>
        <v>2454.0152248530526</v>
      </c>
      <c r="AD384" s="47">
        <f t="shared" si="64"/>
        <v>0</v>
      </c>
    </row>
    <row r="385" spans="1:30" hidden="1" x14ac:dyDescent="0.2">
      <c r="A385" s="30" t="s">
        <v>2937</v>
      </c>
      <c r="B385" s="29">
        <v>777</v>
      </c>
      <c r="C385" s="29">
        <v>1</v>
      </c>
      <c r="D385" s="29">
        <v>456</v>
      </c>
      <c r="E385" s="29">
        <v>76022</v>
      </c>
      <c r="F385" s="29">
        <v>26651</v>
      </c>
      <c r="G385" s="29">
        <v>26457</v>
      </c>
      <c r="H385" s="29">
        <v>103124</v>
      </c>
      <c r="I385" s="29">
        <v>16775</v>
      </c>
      <c r="J385" s="29">
        <v>235638336</v>
      </c>
      <c r="K385" s="29">
        <v>503</v>
      </c>
      <c r="L385" s="29">
        <v>1044</v>
      </c>
      <c r="N385" s="34"/>
      <c r="O385" s="29">
        <f t="shared" si="54"/>
        <v>773.5</v>
      </c>
      <c r="P385" s="32" cm="1">
        <f t="array" ref="P385">WPNFACTOR(C385)</f>
        <v>2</v>
      </c>
      <c r="Q385" s="34" cm="1">
        <f t="array" ref="Q385">HPFACTOr(C385)</f>
        <v>5</v>
      </c>
      <c r="R385" s="33">
        <f t="shared" si="55"/>
        <v>386.75</v>
      </c>
      <c r="S385" s="34">
        <f t="shared" si="56"/>
        <v>47127667.200000003</v>
      </c>
      <c r="T385" s="33">
        <f t="shared" si="57"/>
        <v>386.75</v>
      </c>
      <c r="U385" s="42">
        <f t="shared" si="58"/>
        <v>47127667.200000003</v>
      </c>
      <c r="V385" s="44"/>
      <c r="W385" s="29">
        <f t="shared" si="60"/>
        <v>18226625289.600002</v>
      </c>
      <c r="X385" s="41">
        <f t="shared" si="59"/>
        <v>34.085328415974459</v>
      </c>
      <c r="Y385" s="33">
        <f t="shared" si="61"/>
        <v>367.43165276947991</v>
      </c>
      <c r="Z385" s="33">
        <v>1.33</v>
      </c>
      <c r="AA385" s="29">
        <f t="shared" si="62"/>
        <v>488.68409818340831</v>
      </c>
      <c r="AB385" s="48">
        <f t="shared" si="63"/>
        <v>2631.6941904715159</v>
      </c>
      <c r="AD385" s="47">
        <f t="shared" si="64"/>
        <v>0</v>
      </c>
    </row>
    <row r="386" spans="1:30" hidden="1" x14ac:dyDescent="0.2">
      <c r="A386" s="30" t="s">
        <v>2937</v>
      </c>
      <c r="B386" s="29">
        <v>830</v>
      </c>
      <c r="C386" s="29">
        <v>1</v>
      </c>
      <c r="D386" s="29">
        <v>467</v>
      </c>
      <c r="E386" s="29">
        <v>83398</v>
      </c>
      <c r="F386" s="29">
        <v>29241</v>
      </c>
      <c r="G386" s="29">
        <v>29033</v>
      </c>
      <c r="H386" s="29">
        <v>113216</v>
      </c>
      <c r="I386" s="29">
        <v>18360</v>
      </c>
      <c r="J386" s="29">
        <v>264925440</v>
      </c>
      <c r="K386" s="29">
        <v>519</v>
      </c>
      <c r="L386" s="29">
        <v>1082</v>
      </c>
      <c r="N386" s="34"/>
      <c r="O386" s="29">
        <f t="shared" si="54"/>
        <v>800.5</v>
      </c>
      <c r="P386" s="32" cm="1">
        <f t="array" ref="P386">WPNFACTOR(C386)</f>
        <v>2</v>
      </c>
      <c r="Q386" s="34" cm="1">
        <f t="array" ref="Q386">HPFACTOr(C386)</f>
        <v>5</v>
      </c>
      <c r="R386" s="33">
        <f t="shared" si="55"/>
        <v>400.25</v>
      </c>
      <c r="S386" s="34">
        <f t="shared" si="56"/>
        <v>52985088</v>
      </c>
      <c r="T386" s="33">
        <f t="shared" si="57"/>
        <v>400.25</v>
      </c>
      <c r="U386" s="42">
        <f t="shared" si="58"/>
        <v>52985088.000000007</v>
      </c>
      <c r="V386" s="44"/>
      <c r="W386" s="29">
        <f t="shared" si="60"/>
        <v>21207281472.000004</v>
      </c>
      <c r="X386" s="41">
        <f t="shared" si="59"/>
        <v>34.303840644790121</v>
      </c>
      <c r="Y386" s="33">
        <f t="shared" si="61"/>
        <v>381.61132100138798</v>
      </c>
      <c r="Z386" s="33">
        <v>1.33</v>
      </c>
      <c r="AA386" s="29">
        <f t="shared" si="62"/>
        <v>507.54305693184602</v>
      </c>
      <c r="AB386" s="48">
        <f t="shared" si="63"/>
        <v>2767.9718358367018</v>
      </c>
      <c r="AD386" s="47">
        <f t="shared" si="64"/>
        <v>0</v>
      </c>
    </row>
    <row r="387" spans="1:30" hidden="1" x14ac:dyDescent="0.2">
      <c r="A387" s="30" t="s">
        <v>2937</v>
      </c>
      <c r="B387" s="29">
        <v>867</v>
      </c>
      <c r="C387" s="29">
        <v>1</v>
      </c>
      <c r="D387" s="29">
        <v>474</v>
      </c>
      <c r="E387" s="29">
        <v>88573</v>
      </c>
      <c r="F387" s="29">
        <v>31056</v>
      </c>
      <c r="G387" s="29">
        <v>30839</v>
      </c>
      <c r="H387" s="29">
        <v>120303</v>
      </c>
      <c r="I387" s="29">
        <v>19464</v>
      </c>
      <c r="J387" s="29">
        <v>285719616</v>
      </c>
      <c r="K387" s="29">
        <v>528</v>
      </c>
      <c r="L387" s="29">
        <v>1108</v>
      </c>
      <c r="N387" s="34"/>
      <c r="O387" s="29">
        <f t="shared" si="54"/>
        <v>818</v>
      </c>
      <c r="P387" s="32" cm="1">
        <f t="array" ref="P387">WPNFACTOR(C387)</f>
        <v>2</v>
      </c>
      <c r="Q387" s="34" cm="1">
        <f t="array" ref="Q387">HPFACTOr(C387)</f>
        <v>5</v>
      </c>
      <c r="R387" s="33">
        <f t="shared" si="55"/>
        <v>409</v>
      </c>
      <c r="S387" s="34">
        <f t="shared" si="56"/>
        <v>57143923.200000003</v>
      </c>
      <c r="T387" s="33">
        <f t="shared" si="57"/>
        <v>409</v>
      </c>
      <c r="U387" s="42">
        <f t="shared" si="58"/>
        <v>57143923.200000003</v>
      </c>
      <c r="V387" s="44"/>
      <c r="W387" s="29">
        <f t="shared" si="60"/>
        <v>23371864588.800003</v>
      </c>
      <c r="X387" s="41">
        <f t="shared" si="59"/>
        <v>34.44405378465067</v>
      </c>
      <c r="Y387" s="33">
        <f t="shared" si="61"/>
        <v>390.99692361865414</v>
      </c>
      <c r="Z387" s="33">
        <v>1.33</v>
      </c>
      <c r="AA387" s="29">
        <f t="shared" si="62"/>
        <v>520.02590841281005</v>
      </c>
      <c r="AB387" s="48">
        <f t="shared" si="63"/>
        <v>2859.1116851270044</v>
      </c>
      <c r="AD387" s="47">
        <f t="shared" si="64"/>
        <v>0</v>
      </c>
    </row>
    <row r="388" spans="1:30" hidden="1" x14ac:dyDescent="0.2">
      <c r="A388" s="30" t="s">
        <v>2937</v>
      </c>
      <c r="B388" s="29">
        <v>868</v>
      </c>
      <c r="C388" s="29">
        <v>1</v>
      </c>
      <c r="D388" s="29">
        <v>474</v>
      </c>
      <c r="E388" s="29">
        <v>88675</v>
      </c>
      <c r="F388" s="29">
        <v>31092</v>
      </c>
      <c r="G388" s="29">
        <v>30875</v>
      </c>
      <c r="H388" s="29">
        <v>120441</v>
      </c>
      <c r="I388" s="29">
        <v>19487</v>
      </c>
      <c r="J388" s="29">
        <v>286047360</v>
      </c>
      <c r="K388" s="29">
        <v>524</v>
      </c>
      <c r="L388" s="29">
        <v>1108</v>
      </c>
      <c r="N388" s="34"/>
      <c r="O388" s="29">
        <f t="shared" si="54"/>
        <v>816</v>
      </c>
      <c r="P388" s="32" cm="1">
        <f t="array" ref="P388">WPNFACTOR(C388)</f>
        <v>2</v>
      </c>
      <c r="Q388" s="34" cm="1">
        <f t="array" ref="Q388">HPFACTOr(C388)</f>
        <v>5</v>
      </c>
      <c r="R388" s="33">
        <f t="shared" si="55"/>
        <v>408</v>
      </c>
      <c r="S388" s="34">
        <f t="shared" si="56"/>
        <v>57209472</v>
      </c>
      <c r="T388" s="33">
        <f t="shared" si="57"/>
        <v>408</v>
      </c>
      <c r="U388" s="42">
        <f t="shared" si="58"/>
        <v>57209472</v>
      </c>
      <c r="V388" s="44"/>
      <c r="W388" s="29">
        <f t="shared" si="60"/>
        <v>23341464576</v>
      </c>
      <c r="X388" s="41">
        <f t="shared" si="59"/>
        <v>34.442176035636194</v>
      </c>
      <c r="Y388" s="33">
        <f t="shared" si="61"/>
        <v>390.8697181748912</v>
      </c>
      <c r="Z388" s="33">
        <v>1.33</v>
      </c>
      <c r="AA388" s="29">
        <f t="shared" si="62"/>
        <v>519.85672517260537</v>
      </c>
      <c r="AB388" s="48">
        <f t="shared" si="63"/>
        <v>2857.8715224325174</v>
      </c>
      <c r="AD388" s="47">
        <f t="shared" si="64"/>
        <v>0</v>
      </c>
    </row>
    <row r="389" spans="1:30" hidden="1" x14ac:dyDescent="0.2">
      <c r="A389" s="30" t="s">
        <v>2937</v>
      </c>
      <c r="B389" s="29">
        <v>869</v>
      </c>
      <c r="C389" s="29">
        <v>1</v>
      </c>
      <c r="D389" s="29">
        <v>474</v>
      </c>
      <c r="E389" s="29">
        <v>88777</v>
      </c>
      <c r="F389" s="29">
        <v>31128</v>
      </c>
      <c r="G389" s="29">
        <v>30910</v>
      </c>
      <c r="H389" s="29">
        <v>120580</v>
      </c>
      <c r="I389" s="29">
        <v>19509</v>
      </c>
      <c r="J389" s="29">
        <v>286377504</v>
      </c>
      <c r="K389" s="29">
        <v>525</v>
      </c>
      <c r="L389" s="29">
        <v>1108</v>
      </c>
      <c r="N389" s="34"/>
      <c r="O389" s="29">
        <f t="shared" si="54"/>
        <v>816.5</v>
      </c>
      <c r="P389" s="32" cm="1">
        <f t="array" ref="P389">WPNFACTOR(C389)</f>
        <v>2</v>
      </c>
      <c r="Q389" s="34" cm="1">
        <f t="array" ref="Q389">HPFACTOr(C389)</f>
        <v>5</v>
      </c>
      <c r="R389" s="33">
        <f t="shared" si="55"/>
        <v>408.25</v>
      </c>
      <c r="S389" s="34">
        <f t="shared" si="56"/>
        <v>57275500.799999997</v>
      </c>
      <c r="T389" s="33">
        <f t="shared" si="57"/>
        <v>408.25</v>
      </c>
      <c r="U389" s="42">
        <f t="shared" si="58"/>
        <v>57275500.799999997</v>
      </c>
      <c r="V389" s="44"/>
      <c r="W389" s="29">
        <f t="shared" si="60"/>
        <v>23382723201.599998</v>
      </c>
      <c r="X389" s="41">
        <f t="shared" si="59"/>
        <v>34.444723907856094</v>
      </c>
      <c r="Y389" s="33">
        <f t="shared" si="61"/>
        <v>391.04233018727081</v>
      </c>
      <c r="Z389" s="33">
        <v>1.33</v>
      </c>
      <c r="AA389" s="29">
        <f t="shared" si="62"/>
        <v>520.08629914907021</v>
      </c>
      <c r="AB389" s="48">
        <f t="shared" si="63"/>
        <v>2859.5543994834788</v>
      </c>
      <c r="AD389" s="47">
        <f t="shared" si="64"/>
        <v>0</v>
      </c>
    </row>
    <row r="390" spans="1:30" hidden="1" x14ac:dyDescent="0.2">
      <c r="A390" s="30" t="s">
        <v>2937</v>
      </c>
      <c r="B390" s="29">
        <v>870</v>
      </c>
      <c r="C390" s="29">
        <v>1</v>
      </c>
      <c r="D390" s="29">
        <v>475</v>
      </c>
      <c r="E390" s="29">
        <v>89088</v>
      </c>
      <c r="F390" s="29">
        <v>31233</v>
      </c>
      <c r="G390" s="29">
        <v>31015</v>
      </c>
      <c r="H390" s="29">
        <v>121011</v>
      </c>
      <c r="I390" s="29">
        <v>19575</v>
      </c>
      <c r="J390" s="29">
        <v>288006176</v>
      </c>
      <c r="K390" s="29">
        <v>525</v>
      </c>
      <c r="L390" s="29">
        <v>1110</v>
      </c>
      <c r="N390" s="34"/>
      <c r="O390" s="29">
        <f t="shared" si="54"/>
        <v>817.5</v>
      </c>
      <c r="P390" s="32" cm="1">
        <f t="array" ref="P390">WPNFACTOR(C390)</f>
        <v>2</v>
      </c>
      <c r="Q390" s="34" cm="1">
        <f t="array" ref="Q390">HPFACTOr(C390)</f>
        <v>5</v>
      </c>
      <c r="R390" s="33">
        <f t="shared" si="55"/>
        <v>408.75</v>
      </c>
      <c r="S390" s="34">
        <f t="shared" si="56"/>
        <v>57601235.200000003</v>
      </c>
      <c r="T390" s="33">
        <f t="shared" si="57"/>
        <v>408.75</v>
      </c>
      <c r="U390" s="42">
        <f t="shared" si="58"/>
        <v>57601235.200000003</v>
      </c>
      <c r="V390" s="44"/>
      <c r="W390" s="29">
        <f t="shared" si="60"/>
        <v>23544504888</v>
      </c>
      <c r="X390" s="41">
        <f t="shared" si="59"/>
        <v>34.454671333726502</v>
      </c>
      <c r="Y390" s="33">
        <f t="shared" si="61"/>
        <v>391.71697364973159</v>
      </c>
      <c r="Z390" s="33">
        <v>1.33</v>
      </c>
      <c r="AA390" s="29">
        <f t="shared" si="62"/>
        <v>520.98357495414302</v>
      </c>
      <c r="AB390" s="48">
        <f t="shared" si="63"/>
        <v>2866.1341958799603</v>
      </c>
      <c r="AD390" s="47">
        <f t="shared" si="64"/>
        <v>0</v>
      </c>
    </row>
    <row r="391" spans="1:30" hidden="1" x14ac:dyDescent="0.2">
      <c r="A391" s="30" t="s">
        <v>2937</v>
      </c>
      <c r="B391" s="29">
        <v>871</v>
      </c>
      <c r="C391" s="29">
        <v>1</v>
      </c>
      <c r="D391" s="29">
        <v>475</v>
      </c>
      <c r="E391" s="29">
        <v>89190</v>
      </c>
      <c r="F391" s="29">
        <v>31269</v>
      </c>
      <c r="G391" s="29">
        <v>31051</v>
      </c>
      <c r="H391" s="29">
        <v>121150</v>
      </c>
      <c r="I391" s="29">
        <v>19598</v>
      </c>
      <c r="J391" s="29">
        <v>288336992</v>
      </c>
      <c r="K391" s="29">
        <v>527</v>
      </c>
      <c r="L391" s="29">
        <v>1110</v>
      </c>
      <c r="N391" s="34"/>
      <c r="O391" s="29">
        <f t="shared" si="54"/>
        <v>818.5</v>
      </c>
      <c r="P391" s="32" cm="1">
        <f t="array" ref="P391">WPNFACTOR(C391)</f>
        <v>2</v>
      </c>
      <c r="Q391" s="34" cm="1">
        <f t="array" ref="Q391">HPFACTOr(C391)</f>
        <v>5</v>
      </c>
      <c r="R391" s="33">
        <f t="shared" si="55"/>
        <v>409.25</v>
      </c>
      <c r="S391" s="34">
        <f t="shared" si="56"/>
        <v>57667398.399999999</v>
      </c>
      <c r="T391" s="33">
        <f t="shared" si="57"/>
        <v>409.25</v>
      </c>
      <c r="U391" s="42">
        <f t="shared" si="58"/>
        <v>57667398.399999999</v>
      </c>
      <c r="V391" s="44"/>
      <c r="W391" s="29">
        <f t="shared" si="60"/>
        <v>23600382795.200001</v>
      </c>
      <c r="X391" s="41">
        <f t="shared" si="59"/>
        <v>34.458091208980143</v>
      </c>
      <c r="Y391" s="33">
        <f t="shared" si="61"/>
        <v>391.94918145669777</v>
      </c>
      <c r="Z391" s="33">
        <v>1.33</v>
      </c>
      <c r="AA391" s="29">
        <f t="shared" si="62"/>
        <v>521.29241133740811</v>
      </c>
      <c r="AB391" s="48">
        <f t="shared" si="63"/>
        <v>2868.3997924777323</v>
      </c>
      <c r="AD391" s="47">
        <f t="shared" si="64"/>
        <v>0</v>
      </c>
    </row>
    <row r="392" spans="1:30" hidden="1" x14ac:dyDescent="0.2">
      <c r="A392" s="30" t="s">
        <v>2937</v>
      </c>
      <c r="B392" s="29">
        <v>872</v>
      </c>
      <c r="C392" s="29">
        <v>1</v>
      </c>
      <c r="D392" s="29">
        <v>475</v>
      </c>
      <c r="E392" s="29">
        <v>89293</v>
      </c>
      <c r="F392" s="29">
        <v>31305</v>
      </c>
      <c r="G392" s="29">
        <v>31087</v>
      </c>
      <c r="H392" s="29">
        <v>121290</v>
      </c>
      <c r="I392" s="29">
        <v>19620</v>
      </c>
      <c r="J392" s="29">
        <v>288670208</v>
      </c>
      <c r="K392" s="29">
        <v>528</v>
      </c>
      <c r="L392" s="29">
        <v>1111</v>
      </c>
      <c r="N392" s="34"/>
      <c r="O392" s="29">
        <f t="shared" si="54"/>
        <v>819.5</v>
      </c>
      <c r="P392" s="32" cm="1">
        <f t="array" ref="P392">WPNFACTOR(C392)</f>
        <v>2</v>
      </c>
      <c r="Q392" s="34" cm="1">
        <f t="array" ref="Q392">HPFACTOr(C392)</f>
        <v>5</v>
      </c>
      <c r="R392" s="33">
        <f t="shared" si="55"/>
        <v>409.75</v>
      </c>
      <c r="S392" s="34">
        <f t="shared" si="56"/>
        <v>57734041.600000001</v>
      </c>
      <c r="T392" s="33">
        <f t="shared" si="57"/>
        <v>409.75</v>
      </c>
      <c r="U392" s="42">
        <f t="shared" si="58"/>
        <v>57734041.600000001</v>
      </c>
      <c r="V392" s="44"/>
      <c r="W392" s="29">
        <f t="shared" si="60"/>
        <v>23656523545.600002</v>
      </c>
      <c r="X392" s="41">
        <f t="shared" si="59"/>
        <v>34.461519026269436</v>
      </c>
      <c r="Y392" s="33">
        <f t="shared" si="61"/>
        <v>392.1820666554184</v>
      </c>
      <c r="Z392" s="33">
        <v>1.33</v>
      </c>
      <c r="AA392" s="29">
        <f t="shared" si="62"/>
        <v>521.60214865170644</v>
      </c>
      <c r="AB392" s="48">
        <f t="shared" si="63"/>
        <v>2870.6724476431623</v>
      </c>
      <c r="AD392" s="47">
        <f t="shared" si="64"/>
        <v>0</v>
      </c>
    </row>
    <row r="393" spans="1:30" hidden="1" x14ac:dyDescent="0.2">
      <c r="A393" s="30" t="s">
        <v>2937</v>
      </c>
      <c r="B393" s="29">
        <v>873</v>
      </c>
      <c r="C393" s="29">
        <v>1</v>
      </c>
      <c r="D393" s="29">
        <v>475</v>
      </c>
      <c r="E393" s="29">
        <v>89395</v>
      </c>
      <c r="F393" s="29">
        <v>31341</v>
      </c>
      <c r="G393" s="29">
        <v>31122</v>
      </c>
      <c r="H393" s="29">
        <v>121428</v>
      </c>
      <c r="I393" s="29">
        <v>19642</v>
      </c>
      <c r="J393" s="29">
        <v>288998656</v>
      </c>
      <c r="K393" s="29">
        <v>525</v>
      </c>
      <c r="L393" s="29">
        <v>1110</v>
      </c>
      <c r="N393" s="34"/>
      <c r="O393" s="29">
        <f t="shared" si="54"/>
        <v>817.5</v>
      </c>
      <c r="P393" s="32" cm="1">
        <f t="array" ref="P393">WPNFACTOR(C393)</f>
        <v>2</v>
      </c>
      <c r="Q393" s="34" cm="1">
        <f t="array" ref="Q393">HPFACTOr(C393)</f>
        <v>5</v>
      </c>
      <c r="R393" s="33">
        <f t="shared" si="55"/>
        <v>408.75</v>
      </c>
      <c r="S393" s="34">
        <f t="shared" si="56"/>
        <v>57799731.200000003</v>
      </c>
      <c r="T393" s="33">
        <f t="shared" si="57"/>
        <v>408.75</v>
      </c>
      <c r="U393" s="42">
        <f t="shared" si="58"/>
        <v>57799731.20000001</v>
      </c>
      <c r="V393" s="44"/>
      <c r="W393" s="29">
        <f t="shared" si="60"/>
        <v>23625640128.000004</v>
      </c>
      <c r="X393" s="41">
        <f t="shared" si="59"/>
        <v>34.459634368026592</v>
      </c>
      <c r="Y393" s="33">
        <f t="shared" si="61"/>
        <v>392.05400624381889</v>
      </c>
      <c r="Z393" s="33">
        <v>1.33</v>
      </c>
      <c r="AA393" s="29">
        <f t="shared" si="62"/>
        <v>521.43182830427918</v>
      </c>
      <c r="AB393" s="48">
        <f t="shared" si="63"/>
        <v>2869.4226897089056</v>
      </c>
      <c r="AD393" s="47">
        <f t="shared" si="64"/>
        <v>0</v>
      </c>
    </row>
    <row r="394" spans="1:30" hidden="1" x14ac:dyDescent="0.2">
      <c r="A394" s="30" t="s">
        <v>2937</v>
      </c>
      <c r="B394" s="29">
        <v>874</v>
      </c>
      <c r="C394" s="29">
        <v>1</v>
      </c>
      <c r="D394" s="29">
        <v>475</v>
      </c>
      <c r="E394" s="29">
        <v>89498</v>
      </c>
      <c r="F394" s="29">
        <v>31377</v>
      </c>
      <c r="G394" s="29">
        <v>31158</v>
      </c>
      <c r="H394" s="29">
        <v>121568</v>
      </c>
      <c r="I394" s="29">
        <v>19665</v>
      </c>
      <c r="J394" s="29">
        <v>289331840</v>
      </c>
      <c r="K394" s="29">
        <v>526</v>
      </c>
      <c r="L394" s="29">
        <v>1111</v>
      </c>
      <c r="N394" s="34"/>
      <c r="O394" s="29">
        <f t="shared" si="54"/>
        <v>818.5</v>
      </c>
      <c r="P394" s="32" cm="1">
        <f t="array" ref="P394">WPNFACTOR(C394)</f>
        <v>2</v>
      </c>
      <c r="Q394" s="34" cm="1">
        <f t="array" ref="Q394">HPFACTOr(C394)</f>
        <v>5</v>
      </c>
      <c r="R394" s="33">
        <f t="shared" si="55"/>
        <v>409.25</v>
      </c>
      <c r="S394" s="34">
        <f t="shared" si="56"/>
        <v>57866368</v>
      </c>
      <c r="T394" s="33">
        <f t="shared" si="57"/>
        <v>409.25</v>
      </c>
      <c r="U394" s="42">
        <f t="shared" si="58"/>
        <v>57866368.000000007</v>
      </c>
      <c r="V394" s="44"/>
      <c r="W394" s="29">
        <f t="shared" si="60"/>
        <v>23681811104.000004</v>
      </c>
      <c r="X394" s="41">
        <f t="shared" si="59"/>
        <v>34.463060366447117</v>
      </c>
      <c r="Y394" s="33">
        <f t="shared" si="61"/>
        <v>392.28683008317222</v>
      </c>
      <c r="Z394" s="33">
        <v>1.33</v>
      </c>
      <c r="AA394" s="29">
        <f t="shared" si="62"/>
        <v>521.74148401061905</v>
      </c>
      <c r="AB394" s="48">
        <f t="shared" si="63"/>
        <v>2871.694948499578</v>
      </c>
      <c r="AD394" s="47">
        <f t="shared" si="64"/>
        <v>0</v>
      </c>
    </row>
    <row r="395" spans="1:30" hidden="1" x14ac:dyDescent="0.2">
      <c r="A395" s="30" t="s">
        <v>2937</v>
      </c>
      <c r="B395" s="29">
        <v>875</v>
      </c>
      <c r="C395" s="29">
        <v>1</v>
      </c>
      <c r="D395" s="29">
        <v>476</v>
      </c>
      <c r="E395" s="29">
        <v>89810</v>
      </c>
      <c r="F395" s="29">
        <v>31482</v>
      </c>
      <c r="G395" s="29">
        <v>31264</v>
      </c>
      <c r="H395" s="29">
        <v>122001</v>
      </c>
      <c r="I395" s="29">
        <v>19731</v>
      </c>
      <c r="J395" s="29">
        <v>290972384</v>
      </c>
      <c r="K395" s="29">
        <v>525</v>
      </c>
      <c r="L395" s="29">
        <v>1113</v>
      </c>
      <c r="N395" s="34"/>
      <c r="O395" s="29">
        <f t="shared" si="54"/>
        <v>819</v>
      </c>
      <c r="P395" s="32" cm="1">
        <f t="array" ref="P395">WPNFACTOR(C395)</f>
        <v>2</v>
      </c>
      <c r="Q395" s="34" cm="1">
        <f t="array" ref="Q395">HPFACTOr(C395)</f>
        <v>5</v>
      </c>
      <c r="R395" s="33">
        <f t="shared" si="55"/>
        <v>409.5</v>
      </c>
      <c r="S395" s="34">
        <f t="shared" si="56"/>
        <v>58194476.799999997</v>
      </c>
      <c r="T395" s="33">
        <f t="shared" si="57"/>
        <v>409.5</v>
      </c>
      <c r="U395" s="42">
        <f t="shared" si="58"/>
        <v>58194476.799999997</v>
      </c>
      <c r="V395" s="44"/>
      <c r="W395" s="29">
        <f t="shared" si="60"/>
        <v>23830638249.599998</v>
      </c>
      <c r="X395" s="41">
        <f t="shared" si="59"/>
        <v>34.472098540234036</v>
      </c>
      <c r="Y395" s="33">
        <f t="shared" si="61"/>
        <v>392.90170959905635</v>
      </c>
      <c r="Z395" s="33">
        <v>1.33</v>
      </c>
      <c r="AA395" s="29">
        <f t="shared" si="62"/>
        <v>522.55927376674492</v>
      </c>
      <c r="AB395" s="48">
        <f t="shared" si="63"/>
        <v>2877.6980645271492</v>
      </c>
      <c r="AD395" s="47">
        <f t="shared" si="64"/>
        <v>0</v>
      </c>
    </row>
    <row r="396" spans="1:30" hidden="1" x14ac:dyDescent="0.2">
      <c r="A396" s="30" t="s">
        <v>2937</v>
      </c>
      <c r="B396" s="29">
        <v>876</v>
      </c>
      <c r="C396" s="29">
        <v>1</v>
      </c>
      <c r="D396" s="29">
        <v>476</v>
      </c>
      <c r="E396" s="29">
        <v>89913</v>
      </c>
      <c r="F396" s="29">
        <v>31518</v>
      </c>
      <c r="G396" s="29">
        <v>31299</v>
      </c>
      <c r="H396" s="29">
        <v>122140</v>
      </c>
      <c r="I396" s="29">
        <v>19754</v>
      </c>
      <c r="J396" s="29">
        <v>291303904</v>
      </c>
      <c r="K396" s="29">
        <v>526</v>
      </c>
      <c r="L396" s="29">
        <v>1112</v>
      </c>
      <c r="N396" s="34"/>
      <c r="O396" s="29">
        <f t="shared" si="54"/>
        <v>819</v>
      </c>
      <c r="P396" s="32" cm="1">
        <f t="array" ref="P396">WPNFACTOR(C396)</f>
        <v>2</v>
      </c>
      <c r="Q396" s="34" cm="1">
        <f t="array" ref="Q396">HPFACTOr(C396)</f>
        <v>5</v>
      </c>
      <c r="R396" s="33">
        <f t="shared" si="55"/>
        <v>409.5</v>
      </c>
      <c r="S396" s="34">
        <f t="shared" si="56"/>
        <v>58260780.799999997</v>
      </c>
      <c r="T396" s="33">
        <f t="shared" si="57"/>
        <v>409.5</v>
      </c>
      <c r="U396" s="42">
        <f t="shared" si="58"/>
        <v>58260780.799999997</v>
      </c>
      <c r="V396" s="44"/>
      <c r="W396" s="29">
        <f t="shared" si="60"/>
        <v>23857789737.599998</v>
      </c>
      <c r="X396" s="41">
        <f t="shared" si="59"/>
        <v>34.473741342187303</v>
      </c>
      <c r="Y396" s="33">
        <f t="shared" si="61"/>
        <v>393.01357516312231</v>
      </c>
      <c r="Z396" s="33">
        <v>1.33</v>
      </c>
      <c r="AA396" s="29">
        <f t="shared" si="62"/>
        <v>522.70805496695266</v>
      </c>
      <c r="AB396" s="48">
        <f t="shared" si="63"/>
        <v>2878.7905535106293</v>
      </c>
      <c r="AD396" s="47">
        <f t="shared" si="64"/>
        <v>0</v>
      </c>
    </row>
    <row r="397" spans="1:30" hidden="1" x14ac:dyDescent="0.2">
      <c r="A397" s="30" t="s">
        <v>2937</v>
      </c>
      <c r="B397" s="29">
        <v>877</v>
      </c>
      <c r="C397" s="29">
        <v>1</v>
      </c>
      <c r="D397" s="29">
        <v>476</v>
      </c>
      <c r="E397" s="29">
        <v>90015</v>
      </c>
      <c r="F397" s="29">
        <v>31554</v>
      </c>
      <c r="G397" s="29">
        <v>31335</v>
      </c>
      <c r="H397" s="29">
        <v>122280</v>
      </c>
      <c r="I397" s="29">
        <v>19776</v>
      </c>
      <c r="J397" s="29">
        <v>291637792</v>
      </c>
      <c r="K397" s="29">
        <v>527</v>
      </c>
      <c r="L397" s="29">
        <v>1114</v>
      </c>
      <c r="N397" s="34"/>
      <c r="O397" s="29">
        <f t="shared" si="54"/>
        <v>820.5</v>
      </c>
      <c r="P397" s="32" cm="1">
        <f t="array" ref="P397">WPNFACTOR(C397)</f>
        <v>2</v>
      </c>
      <c r="Q397" s="34" cm="1">
        <f t="array" ref="Q397">HPFACTOr(C397)</f>
        <v>5</v>
      </c>
      <c r="R397" s="33">
        <f t="shared" si="55"/>
        <v>410.25</v>
      </c>
      <c r="S397" s="34">
        <f t="shared" si="56"/>
        <v>58327558.399999999</v>
      </c>
      <c r="T397" s="33">
        <f t="shared" si="57"/>
        <v>410.25</v>
      </c>
      <c r="U397" s="42">
        <f t="shared" si="58"/>
        <v>58327558.399999999</v>
      </c>
      <c r="V397" s="44"/>
      <c r="W397" s="29">
        <f t="shared" si="60"/>
        <v>23928880833.599998</v>
      </c>
      <c r="X397" s="41">
        <f t="shared" si="59"/>
        <v>34.478033871718573</v>
      </c>
      <c r="Y397" s="33">
        <f t="shared" si="61"/>
        <v>393.30602261764307</v>
      </c>
      <c r="Z397" s="33">
        <v>1.33</v>
      </c>
      <c r="AA397" s="29">
        <f t="shared" si="62"/>
        <v>523.09701008146533</v>
      </c>
      <c r="AB397" s="48">
        <f t="shared" si="63"/>
        <v>2881.6471108633273</v>
      </c>
      <c r="AD397" s="47">
        <f t="shared" si="64"/>
        <v>0</v>
      </c>
    </row>
    <row r="398" spans="1:30" hidden="1" x14ac:dyDescent="0.2">
      <c r="A398" s="30" t="s">
        <v>2937</v>
      </c>
      <c r="B398" s="29">
        <v>939</v>
      </c>
      <c r="C398" s="29">
        <v>1</v>
      </c>
      <c r="D398" s="29">
        <v>488</v>
      </c>
      <c r="E398" s="29">
        <v>99083</v>
      </c>
      <c r="F398" s="29">
        <v>34734</v>
      </c>
      <c r="G398" s="29">
        <v>34499</v>
      </c>
      <c r="H398" s="29">
        <v>134700</v>
      </c>
      <c r="I398" s="29">
        <v>21710</v>
      </c>
      <c r="J398" s="29">
        <v>329341504</v>
      </c>
      <c r="K398" s="29">
        <v>544</v>
      </c>
      <c r="L398" s="29">
        <v>1157</v>
      </c>
      <c r="N398" s="34"/>
      <c r="O398" s="29">
        <f t="shared" si="54"/>
        <v>850.5</v>
      </c>
      <c r="P398" s="32" cm="1">
        <f t="array" ref="P398">WPNFACTOR(C398)</f>
        <v>2</v>
      </c>
      <c r="Q398" s="34" cm="1">
        <f t="array" ref="Q398">HPFACTOr(C398)</f>
        <v>5</v>
      </c>
      <c r="R398" s="33">
        <f t="shared" si="55"/>
        <v>425.25</v>
      </c>
      <c r="S398" s="34">
        <f t="shared" si="56"/>
        <v>65868300.799999997</v>
      </c>
      <c r="T398" s="33">
        <f t="shared" si="57"/>
        <v>425.25</v>
      </c>
      <c r="U398" s="42">
        <f t="shared" si="58"/>
        <v>65868300.799999997</v>
      </c>
      <c r="V398" s="44"/>
      <c r="W398" s="29">
        <f t="shared" si="60"/>
        <v>28010494915.199997</v>
      </c>
      <c r="X398" s="41">
        <f t="shared" si="59"/>
        <v>34.705248423374826</v>
      </c>
      <c r="Y398" s="33">
        <f t="shared" si="61"/>
        <v>409.10067456077343</v>
      </c>
      <c r="Z398" s="33">
        <v>1.33</v>
      </c>
      <c r="AA398" s="29">
        <f t="shared" si="62"/>
        <v>544.1038971658287</v>
      </c>
      <c r="AB398" s="48">
        <f t="shared" si="63"/>
        <v>3036.9683142914005</v>
      </c>
      <c r="AD398" s="47">
        <f t="shared" si="64"/>
        <v>0</v>
      </c>
    </row>
    <row r="399" spans="1:30" hidden="1" x14ac:dyDescent="0.2">
      <c r="A399" s="30" t="s">
        <v>2937</v>
      </c>
      <c r="B399" s="29">
        <v>947</v>
      </c>
      <c r="C399" s="29">
        <v>1</v>
      </c>
      <c r="D399" s="29">
        <v>490</v>
      </c>
      <c r="E399" s="29">
        <v>100382</v>
      </c>
      <c r="F399" s="29">
        <v>35191</v>
      </c>
      <c r="G399" s="29">
        <v>34954</v>
      </c>
      <c r="H399" s="29">
        <v>136484</v>
      </c>
      <c r="I399" s="29">
        <v>21989</v>
      </c>
      <c r="J399" s="29">
        <v>335068224</v>
      </c>
      <c r="K399" s="29">
        <v>544</v>
      </c>
      <c r="L399" s="29">
        <v>1162</v>
      </c>
      <c r="N399" s="34"/>
      <c r="O399" s="29">
        <f t="shared" si="54"/>
        <v>853</v>
      </c>
      <c r="P399" s="32" cm="1">
        <f t="array" ref="P399">WPNFACTOR(C399)</f>
        <v>2</v>
      </c>
      <c r="Q399" s="34" cm="1">
        <f t="array" ref="Q399">HPFACTOr(C399)</f>
        <v>5</v>
      </c>
      <c r="R399" s="33">
        <f t="shared" si="55"/>
        <v>426.5</v>
      </c>
      <c r="S399" s="34">
        <f t="shared" si="56"/>
        <v>67013644.799999997</v>
      </c>
      <c r="T399" s="33">
        <f t="shared" si="57"/>
        <v>426.5</v>
      </c>
      <c r="U399" s="42">
        <f t="shared" si="58"/>
        <v>67013644.800000004</v>
      </c>
      <c r="V399" s="44"/>
      <c r="W399" s="29">
        <f t="shared" si="60"/>
        <v>28581319507.200001</v>
      </c>
      <c r="X399" s="41">
        <f t="shared" si="59"/>
        <v>34.734353471414792</v>
      </c>
      <c r="Y399" s="33">
        <f t="shared" si="61"/>
        <v>411.16919412400449</v>
      </c>
      <c r="Z399" s="33">
        <v>1.33</v>
      </c>
      <c r="AA399" s="29">
        <f t="shared" si="62"/>
        <v>546.85502818492603</v>
      </c>
      <c r="AB399" s="48">
        <f t="shared" si="63"/>
        <v>3057.4598192102471</v>
      </c>
      <c r="AD399" s="47">
        <f t="shared" si="64"/>
        <v>0</v>
      </c>
    </row>
    <row r="400" spans="1:30" hidden="1" x14ac:dyDescent="0.2">
      <c r="A400" s="30" t="s">
        <v>2937</v>
      </c>
      <c r="B400" s="29">
        <v>954</v>
      </c>
      <c r="C400" s="29">
        <v>1</v>
      </c>
      <c r="D400" s="29">
        <v>491</v>
      </c>
      <c r="E400" s="29">
        <v>101353</v>
      </c>
      <c r="F400" s="29">
        <v>35527</v>
      </c>
      <c r="G400" s="29">
        <v>35288</v>
      </c>
      <c r="H400" s="29">
        <v>137814</v>
      </c>
      <c r="I400" s="29">
        <v>22200</v>
      </c>
      <c r="J400" s="29">
        <v>339022432</v>
      </c>
      <c r="K400" s="29">
        <v>546</v>
      </c>
      <c r="L400" s="29">
        <v>1163</v>
      </c>
      <c r="N400" s="34"/>
      <c r="O400" s="29">
        <f t="shared" si="54"/>
        <v>854.5</v>
      </c>
      <c r="P400" s="32" cm="1">
        <f t="array" ref="P400">WPNFACTOR(C400)</f>
        <v>2</v>
      </c>
      <c r="Q400" s="34" cm="1">
        <f t="array" ref="Q400">HPFACTOr(C400)</f>
        <v>5</v>
      </c>
      <c r="R400" s="33">
        <f t="shared" si="55"/>
        <v>427.25</v>
      </c>
      <c r="S400" s="34">
        <f t="shared" si="56"/>
        <v>67804486.400000006</v>
      </c>
      <c r="T400" s="33">
        <f t="shared" si="57"/>
        <v>427.25</v>
      </c>
      <c r="U400" s="42">
        <f t="shared" si="58"/>
        <v>67804486.400000006</v>
      </c>
      <c r="V400" s="44"/>
      <c r="W400" s="29">
        <f t="shared" si="60"/>
        <v>28969466814.400002</v>
      </c>
      <c r="X400" s="41">
        <f t="shared" si="59"/>
        <v>34.75381408079641</v>
      </c>
      <c r="Y400" s="33">
        <f t="shared" si="61"/>
        <v>412.55810685290868</v>
      </c>
      <c r="Z400" s="33">
        <v>1.33</v>
      </c>
      <c r="AA400" s="29">
        <f t="shared" si="62"/>
        <v>548.70228211436859</v>
      </c>
      <c r="AB400" s="48">
        <f t="shared" si="63"/>
        <v>3071.2381985422448</v>
      </c>
      <c r="AD400" s="47">
        <f t="shared" si="64"/>
        <v>0</v>
      </c>
    </row>
    <row r="401" spans="1:30" hidden="1" x14ac:dyDescent="0.2">
      <c r="A401" s="30" t="s">
        <v>2937</v>
      </c>
      <c r="B401" s="29">
        <v>962</v>
      </c>
      <c r="C401" s="29">
        <v>1</v>
      </c>
      <c r="D401" s="29">
        <v>493</v>
      </c>
      <c r="E401" s="29">
        <v>102665</v>
      </c>
      <c r="F401" s="29">
        <v>35988</v>
      </c>
      <c r="G401" s="29">
        <v>35748</v>
      </c>
      <c r="H401" s="29">
        <v>139606</v>
      </c>
      <c r="I401" s="29">
        <v>22472</v>
      </c>
      <c r="J401" s="29">
        <v>344826816</v>
      </c>
      <c r="K401" s="29">
        <v>546</v>
      </c>
      <c r="L401" s="29">
        <v>1174</v>
      </c>
      <c r="N401" s="34"/>
      <c r="O401" s="29">
        <f t="shared" si="54"/>
        <v>860</v>
      </c>
      <c r="P401" s="32" cm="1">
        <f t="array" ref="P401">WPNFACTOR(C401)</f>
        <v>2</v>
      </c>
      <c r="Q401" s="34" cm="1">
        <f t="array" ref="Q401">HPFACTOr(C401)</f>
        <v>5</v>
      </c>
      <c r="R401" s="33">
        <f t="shared" si="55"/>
        <v>430</v>
      </c>
      <c r="S401" s="34">
        <f t="shared" si="56"/>
        <v>68965363.200000003</v>
      </c>
      <c r="T401" s="33">
        <f t="shared" si="57"/>
        <v>430</v>
      </c>
      <c r="U401" s="42">
        <f t="shared" si="58"/>
        <v>68965363.200000003</v>
      </c>
      <c r="V401" s="44"/>
      <c r="W401" s="29">
        <f t="shared" si="60"/>
        <v>29655106176</v>
      </c>
      <c r="X401" s="41">
        <f t="shared" si="59"/>
        <v>34.787561486040907</v>
      </c>
      <c r="Y401" s="33">
        <f t="shared" si="61"/>
        <v>414.9778065679817</v>
      </c>
      <c r="Z401" s="33">
        <v>1.33</v>
      </c>
      <c r="AA401" s="29">
        <f t="shared" si="62"/>
        <v>551.9204827354157</v>
      </c>
      <c r="AB401" s="48">
        <f t="shared" si="63"/>
        <v>3095.2791890700319</v>
      </c>
      <c r="AD401" s="47">
        <f t="shared" si="64"/>
        <v>0</v>
      </c>
    </row>
    <row r="402" spans="1:30" hidden="1" x14ac:dyDescent="0.2">
      <c r="A402" s="30" t="s">
        <v>2937</v>
      </c>
      <c r="B402" s="29">
        <v>981</v>
      </c>
      <c r="C402" s="29">
        <v>1</v>
      </c>
      <c r="D402" s="29">
        <v>497</v>
      </c>
      <c r="E402" s="29">
        <v>105634</v>
      </c>
      <c r="F402" s="29">
        <v>37033</v>
      </c>
      <c r="G402" s="29">
        <v>36788</v>
      </c>
      <c r="H402" s="29">
        <v>143682</v>
      </c>
      <c r="I402" s="29">
        <v>23112</v>
      </c>
      <c r="J402" s="29">
        <v>357768192</v>
      </c>
      <c r="K402" s="29">
        <v>554</v>
      </c>
      <c r="L402" s="29">
        <v>1189</v>
      </c>
      <c r="N402" s="34"/>
      <c r="O402" s="29">
        <f t="shared" si="54"/>
        <v>871.5</v>
      </c>
      <c r="P402" s="32" cm="1">
        <f t="array" ref="P402">WPNFACTOR(C402)</f>
        <v>2</v>
      </c>
      <c r="Q402" s="34" cm="1">
        <f t="array" ref="Q402">HPFACTOr(C402)</f>
        <v>5</v>
      </c>
      <c r="R402" s="33">
        <f t="shared" si="55"/>
        <v>435.75</v>
      </c>
      <c r="S402" s="34">
        <f t="shared" si="56"/>
        <v>71553638.400000006</v>
      </c>
      <c r="T402" s="33">
        <f t="shared" si="57"/>
        <v>435.75</v>
      </c>
      <c r="U402" s="42">
        <f t="shared" si="58"/>
        <v>71553638.400000006</v>
      </c>
      <c r="V402" s="44"/>
      <c r="W402" s="29">
        <f t="shared" si="60"/>
        <v>31179497932.800003</v>
      </c>
      <c r="X402" s="41">
        <f t="shared" si="59"/>
        <v>34.859878646130255</v>
      </c>
      <c r="Y402" s="33">
        <f t="shared" si="61"/>
        <v>420.2108669940049</v>
      </c>
      <c r="Z402" s="33">
        <v>1.33</v>
      </c>
      <c r="AA402" s="29">
        <f t="shared" si="62"/>
        <v>558.88045310202654</v>
      </c>
      <c r="AB402" s="48">
        <f t="shared" si="63"/>
        <v>3147.4321201433372</v>
      </c>
      <c r="AD402" s="47">
        <f t="shared" si="64"/>
        <v>0</v>
      </c>
    </row>
    <row r="403" spans="1:30" hidden="1" x14ac:dyDescent="0.2">
      <c r="A403" s="30" t="s">
        <v>2937</v>
      </c>
      <c r="B403" s="29">
        <v>990</v>
      </c>
      <c r="C403" s="29">
        <v>1</v>
      </c>
      <c r="D403" s="29">
        <v>499</v>
      </c>
      <c r="E403" s="29">
        <v>107078</v>
      </c>
      <c r="F403" s="29">
        <v>37541</v>
      </c>
      <c r="G403" s="29">
        <v>37293</v>
      </c>
      <c r="H403" s="29">
        <v>145665</v>
      </c>
      <c r="I403" s="29">
        <v>23414</v>
      </c>
      <c r="J403" s="29">
        <v>364162496</v>
      </c>
      <c r="K403" s="29">
        <v>555</v>
      </c>
      <c r="L403" s="29">
        <v>1197</v>
      </c>
      <c r="N403" s="34"/>
      <c r="O403" s="29">
        <f t="shared" si="54"/>
        <v>876</v>
      </c>
      <c r="P403" s="32" cm="1">
        <f t="array" ref="P403">WPNFACTOR(C403)</f>
        <v>2</v>
      </c>
      <c r="Q403" s="34" cm="1">
        <f t="array" ref="Q403">HPFACTOr(C403)</f>
        <v>5</v>
      </c>
      <c r="R403" s="33">
        <f t="shared" si="55"/>
        <v>438</v>
      </c>
      <c r="S403" s="34">
        <f t="shared" si="56"/>
        <v>72832499.200000003</v>
      </c>
      <c r="T403" s="33">
        <f t="shared" si="57"/>
        <v>438</v>
      </c>
      <c r="U403" s="42">
        <f t="shared" si="58"/>
        <v>72832499.200000003</v>
      </c>
      <c r="V403" s="44"/>
      <c r="W403" s="29">
        <f t="shared" si="60"/>
        <v>31900634649.600002</v>
      </c>
      <c r="X403" s="41">
        <f t="shared" si="59"/>
        <v>34.892866074955393</v>
      </c>
      <c r="Y403" s="33">
        <f t="shared" si="61"/>
        <v>422.61979090415485</v>
      </c>
      <c r="Z403" s="33">
        <v>1.33</v>
      </c>
      <c r="AA403" s="29">
        <f t="shared" si="62"/>
        <v>562.08432190252597</v>
      </c>
      <c r="AB403" s="48">
        <f t="shared" si="63"/>
        <v>3171.5125996431343</v>
      </c>
      <c r="AD403" s="47">
        <f t="shared" si="64"/>
        <v>0</v>
      </c>
    </row>
    <row r="404" spans="1:30" hidden="1" x14ac:dyDescent="0.2">
      <c r="A404" s="30" t="s">
        <v>2937</v>
      </c>
      <c r="B404" s="29">
        <v>998</v>
      </c>
      <c r="C404" s="29">
        <v>1</v>
      </c>
      <c r="D404" s="29">
        <v>500</v>
      </c>
      <c r="E404" s="29">
        <v>108183</v>
      </c>
      <c r="F404" s="29">
        <v>37924</v>
      </c>
      <c r="G404" s="29">
        <v>37674</v>
      </c>
      <c r="H404" s="29">
        <v>147177</v>
      </c>
      <c r="I404" s="29">
        <v>23653</v>
      </c>
      <c r="J404" s="29">
        <v>368678400</v>
      </c>
      <c r="K404" s="29">
        <v>556</v>
      </c>
      <c r="L404" s="29">
        <v>1201</v>
      </c>
      <c r="N404" s="34"/>
      <c r="O404" s="29">
        <f t="shared" si="54"/>
        <v>878.5</v>
      </c>
      <c r="P404" s="32" cm="1">
        <f t="array" ref="P404">WPNFACTOR(C404)</f>
        <v>2</v>
      </c>
      <c r="Q404" s="34" cm="1">
        <f t="array" ref="Q404">HPFACTOr(C404)</f>
        <v>5</v>
      </c>
      <c r="R404" s="33">
        <f t="shared" si="55"/>
        <v>439.25</v>
      </c>
      <c r="S404" s="34">
        <f t="shared" si="56"/>
        <v>73735680</v>
      </c>
      <c r="T404" s="33">
        <f t="shared" si="57"/>
        <v>439.25</v>
      </c>
      <c r="U404" s="42">
        <f t="shared" si="58"/>
        <v>73735680</v>
      </c>
      <c r="V404" s="44"/>
      <c r="W404" s="29">
        <f t="shared" si="60"/>
        <v>32388397440</v>
      </c>
      <c r="X404" s="41">
        <f t="shared" si="59"/>
        <v>34.914758035019624</v>
      </c>
      <c r="Y404" s="33">
        <f t="shared" si="61"/>
        <v>424.22608097662845</v>
      </c>
      <c r="Z404" s="33">
        <v>1.33</v>
      </c>
      <c r="AA404" s="29">
        <f t="shared" si="62"/>
        <v>564.22068769891587</v>
      </c>
      <c r="AB404" s="48">
        <f t="shared" si="63"/>
        <v>3187.5951201448979</v>
      </c>
      <c r="AD404" s="47">
        <f t="shared" si="64"/>
        <v>0</v>
      </c>
    </row>
    <row r="405" spans="1:30" hidden="1" x14ac:dyDescent="0.2">
      <c r="A405" s="30" t="s">
        <v>2937</v>
      </c>
      <c r="B405" s="29">
        <v>999</v>
      </c>
      <c r="C405" s="29">
        <v>1</v>
      </c>
      <c r="D405" s="29">
        <v>500</v>
      </c>
      <c r="E405" s="29">
        <v>108292</v>
      </c>
      <c r="F405" s="29">
        <v>37962</v>
      </c>
      <c r="G405" s="29">
        <v>37712</v>
      </c>
      <c r="H405" s="29">
        <v>147326</v>
      </c>
      <c r="I405" s="29">
        <v>23676</v>
      </c>
      <c r="J405" s="29">
        <v>369051616</v>
      </c>
      <c r="K405" s="29">
        <v>555</v>
      </c>
      <c r="L405" s="29">
        <v>1201</v>
      </c>
      <c r="N405" s="34"/>
      <c r="O405" s="29">
        <f t="shared" si="54"/>
        <v>878</v>
      </c>
      <c r="P405" s="32" cm="1">
        <f t="array" ref="P405">WPNFACTOR(C405)</f>
        <v>2</v>
      </c>
      <c r="Q405" s="34" cm="1">
        <f t="array" ref="Q405">HPFACTOr(C405)</f>
        <v>5</v>
      </c>
      <c r="R405" s="33">
        <f t="shared" si="55"/>
        <v>439</v>
      </c>
      <c r="S405" s="34">
        <f t="shared" si="56"/>
        <v>73810323.200000003</v>
      </c>
      <c r="T405" s="33">
        <f t="shared" si="57"/>
        <v>439</v>
      </c>
      <c r="U405" s="42">
        <f t="shared" si="58"/>
        <v>73810323.200000003</v>
      </c>
      <c r="V405" s="44"/>
      <c r="W405" s="29">
        <f t="shared" si="60"/>
        <v>32402731884.800003</v>
      </c>
      <c r="X405" s="41">
        <f t="shared" si="59"/>
        <v>34.915396401196588</v>
      </c>
      <c r="Y405" s="33">
        <f t="shared" si="61"/>
        <v>424.27301164336785</v>
      </c>
      <c r="Z405" s="33">
        <v>1.33</v>
      </c>
      <c r="AA405" s="29">
        <f t="shared" si="62"/>
        <v>564.28310548567924</v>
      </c>
      <c r="AB405" s="48">
        <f t="shared" si="63"/>
        <v>3188.0653056714023</v>
      </c>
      <c r="AD405" s="47">
        <f t="shared" si="64"/>
        <v>0</v>
      </c>
    </row>
    <row r="406" spans="1:30" hidden="1" x14ac:dyDescent="0.2">
      <c r="A406" s="30" t="s">
        <v>2937</v>
      </c>
      <c r="B406" s="29">
        <v>1000</v>
      </c>
      <c r="C406" s="29">
        <v>3</v>
      </c>
      <c r="D406" s="29">
        <v>501</v>
      </c>
      <c r="E406" s="29">
        <v>34075</v>
      </c>
      <c r="F406" s="29">
        <v>135800</v>
      </c>
      <c r="G406" s="29">
        <v>33950</v>
      </c>
      <c r="H406" s="29">
        <v>138915</v>
      </c>
      <c r="I406" s="29">
        <v>48412</v>
      </c>
      <c r="J406" s="29">
        <v>278941312</v>
      </c>
      <c r="K406" s="29">
        <v>872</v>
      </c>
      <c r="L406" s="29">
        <v>1334</v>
      </c>
      <c r="N406" s="34"/>
      <c r="O406" s="29">
        <f t="shared" si="54"/>
        <v>1103</v>
      </c>
      <c r="P406" s="32" cm="1">
        <f t="array" ref="P406">WPNFACTOR(C406)</f>
        <v>2.5</v>
      </c>
      <c r="Q406" s="34" cm="1">
        <f t="array" ref="Q406">HPFACTOr(C406)</f>
        <v>4</v>
      </c>
      <c r="R406" s="33">
        <f t="shared" si="55"/>
        <v>441.2</v>
      </c>
      <c r="S406" s="34">
        <f t="shared" si="56"/>
        <v>69735328</v>
      </c>
      <c r="T406" s="33">
        <f t="shared" si="57"/>
        <v>441.2</v>
      </c>
      <c r="U406" s="42">
        <f t="shared" si="58"/>
        <v>69735328</v>
      </c>
      <c r="V406" s="44"/>
      <c r="W406" s="29">
        <f t="shared" si="60"/>
        <v>30767226713.599998</v>
      </c>
      <c r="X406" s="41">
        <f t="shared" si="59"/>
        <v>34.84067535722329</v>
      </c>
      <c r="Y406" s="33">
        <f t="shared" si="61"/>
        <v>418.81486522201635</v>
      </c>
      <c r="Z406" s="33">
        <v>1.33</v>
      </c>
      <c r="AA406" s="29">
        <f t="shared" si="62"/>
        <v>557.02377074528181</v>
      </c>
      <c r="AB406" s="48">
        <f t="shared" si="63"/>
        <v>3133.4982072933044</v>
      </c>
      <c r="AD406" s="47">
        <f t="shared" si="64"/>
        <v>0</v>
      </c>
    </row>
    <row r="407" spans="1:30" hidden="1" x14ac:dyDescent="0.2">
      <c r="A407" s="30" t="s">
        <v>8840</v>
      </c>
      <c r="B407" s="29">
        <v>1</v>
      </c>
      <c r="C407" s="29">
        <v>2</v>
      </c>
      <c r="D407" s="29">
        <v>172</v>
      </c>
      <c r="E407" s="29">
        <v>825</v>
      </c>
      <c r="F407" s="29">
        <v>894</v>
      </c>
      <c r="G407" s="29">
        <v>1788</v>
      </c>
      <c r="H407" s="29">
        <v>7282</v>
      </c>
      <c r="I407" s="29">
        <v>808</v>
      </c>
      <c r="J407" s="29">
        <v>2519572</v>
      </c>
      <c r="K407" s="29">
        <v>4178</v>
      </c>
      <c r="L407" s="29">
        <v>8303</v>
      </c>
      <c r="N407" s="34"/>
      <c r="O407" s="29">
        <f t="shared" si="54"/>
        <v>6240.5</v>
      </c>
      <c r="P407" s="32" cm="1">
        <f t="array" ref="P407">WPNFACTOR(C407)</f>
        <v>4.5</v>
      </c>
      <c r="Q407" s="34" cm="1">
        <f t="array" ref="Q407">HPFACTOr(C407)</f>
        <v>2</v>
      </c>
      <c r="R407" s="33">
        <f t="shared" si="55"/>
        <v>1386.7777777777778</v>
      </c>
      <c r="S407" s="34">
        <f t="shared" si="56"/>
        <v>1259786</v>
      </c>
      <c r="T407" s="33">
        <f t="shared" si="57"/>
        <v>1386.7777777777778</v>
      </c>
      <c r="U407" s="42">
        <f t="shared" si="58"/>
        <v>1259786</v>
      </c>
      <c r="V407" s="44"/>
      <c r="W407" s="29">
        <f t="shared" ref="W407:W470" si="65">T407*U407</f>
        <v>1747043229.5555556</v>
      </c>
      <c r="X407" s="41">
        <f t="shared" si="59"/>
        <v>30.70226816132153</v>
      </c>
      <c r="Y407" s="33">
        <f t="shared" si="61"/>
        <v>204.4447265650999</v>
      </c>
      <c r="Z407" s="33">
        <v>0.8</v>
      </c>
      <c r="AA407" s="29">
        <f t="shared" si="62"/>
        <v>163.55578125207992</v>
      </c>
      <c r="AB407" s="48">
        <f t="shared" si="63"/>
        <v>1204.392060216956</v>
      </c>
      <c r="AC407" s="29">
        <v>142</v>
      </c>
      <c r="AD407" s="47">
        <f t="shared" si="64"/>
        <v>0.11790180680402401</v>
      </c>
    </row>
    <row r="408" spans="1:30" hidden="1" x14ac:dyDescent="0.2">
      <c r="A408" s="30" t="s">
        <v>8840</v>
      </c>
      <c r="B408" s="29">
        <v>2</v>
      </c>
      <c r="C408" s="29">
        <v>1</v>
      </c>
      <c r="D408" s="29">
        <v>174</v>
      </c>
      <c r="E408" s="29">
        <v>1740</v>
      </c>
      <c r="F408" s="29">
        <v>986</v>
      </c>
      <c r="G408" s="29">
        <v>855</v>
      </c>
      <c r="H408" s="29">
        <v>8052</v>
      </c>
      <c r="I408" s="29">
        <v>739</v>
      </c>
      <c r="J408" s="29">
        <v>7045500</v>
      </c>
      <c r="K408" s="29">
        <v>1867</v>
      </c>
      <c r="L408" s="29">
        <v>3730</v>
      </c>
      <c r="N408" s="34"/>
      <c r="O408" s="29">
        <f t="shared" si="54"/>
        <v>2798.5</v>
      </c>
      <c r="P408" s="32" cm="1">
        <f t="array" ref="P408">WPNFACTOR(C408)</f>
        <v>2</v>
      </c>
      <c r="Q408" s="34" cm="1">
        <f t="array" ref="Q408">HPFACTOr(C408)</f>
        <v>5</v>
      </c>
      <c r="R408" s="33">
        <f t="shared" si="55"/>
        <v>1399.25</v>
      </c>
      <c r="S408" s="34">
        <f t="shared" si="56"/>
        <v>1409100</v>
      </c>
      <c r="T408" s="33">
        <f t="shared" si="57"/>
        <v>1399.25</v>
      </c>
      <c r="U408" s="42">
        <f t="shared" si="58"/>
        <v>1409100</v>
      </c>
      <c r="V408" s="44"/>
      <c r="W408" s="29">
        <f t="shared" si="65"/>
        <v>1971683175</v>
      </c>
      <c r="X408" s="41">
        <f t="shared" si="59"/>
        <v>30.876780601149324</v>
      </c>
      <c r="Y408" s="33">
        <f t="shared" si="61"/>
        <v>210.72171034083266</v>
      </c>
      <c r="Z408" s="33">
        <v>0.8</v>
      </c>
      <c r="AA408" s="29">
        <f t="shared" si="62"/>
        <v>168.57736827266615</v>
      </c>
      <c r="AB408" s="48">
        <f t="shared" si="63"/>
        <v>1253.9466036750582</v>
      </c>
      <c r="AC408" s="29">
        <v>142</v>
      </c>
      <c r="AD408" s="47">
        <f t="shared" si="64"/>
        <v>0.11324246150819131</v>
      </c>
    </row>
    <row r="409" spans="1:30" hidden="1" x14ac:dyDescent="0.2">
      <c r="A409" s="30" t="s">
        <v>8840</v>
      </c>
      <c r="B409" s="29">
        <v>3</v>
      </c>
      <c r="C409" s="29">
        <v>1</v>
      </c>
      <c r="D409" s="29">
        <v>176</v>
      </c>
      <c r="E409" s="29">
        <v>1873</v>
      </c>
      <c r="F409" s="29">
        <v>980</v>
      </c>
      <c r="G409" s="29">
        <v>867</v>
      </c>
      <c r="H409" s="29">
        <v>8569</v>
      </c>
      <c r="I409" s="29">
        <v>817</v>
      </c>
      <c r="J409" s="29">
        <v>7583565</v>
      </c>
      <c r="K409" s="29">
        <v>1890</v>
      </c>
      <c r="L409" s="29">
        <v>3771</v>
      </c>
      <c r="N409" s="34"/>
      <c r="O409" s="29">
        <f t="shared" si="54"/>
        <v>2830.5</v>
      </c>
      <c r="P409" s="32" cm="1">
        <f t="array" ref="P409">WPNFACTOR(C409)</f>
        <v>2</v>
      </c>
      <c r="Q409" s="34" cm="1">
        <f t="array" ref="Q409">HPFACTOr(C409)</f>
        <v>5</v>
      </c>
      <c r="R409" s="33">
        <f t="shared" si="55"/>
        <v>1415.25</v>
      </c>
      <c r="S409" s="34">
        <f t="shared" si="56"/>
        <v>1516713</v>
      </c>
      <c r="T409" s="33">
        <f t="shared" si="57"/>
        <v>1415.25</v>
      </c>
      <c r="U409" s="42">
        <f t="shared" si="58"/>
        <v>1516713</v>
      </c>
      <c r="V409" s="44"/>
      <c r="W409" s="29">
        <f t="shared" si="65"/>
        <v>2146528073.25</v>
      </c>
      <c r="X409" s="41">
        <f t="shared" si="59"/>
        <v>30.999357895103568</v>
      </c>
      <c r="Y409" s="33">
        <f t="shared" si="61"/>
        <v>215.24553096822601</v>
      </c>
      <c r="Z409" s="33">
        <v>0.8</v>
      </c>
      <c r="AA409" s="29">
        <f t="shared" si="62"/>
        <v>172.19642477458081</v>
      </c>
      <c r="AB409" s="48">
        <f t="shared" si="63"/>
        <v>1289.967764202579</v>
      </c>
      <c r="AC409" s="29">
        <v>148</v>
      </c>
      <c r="AD409" s="47">
        <f t="shared" si="64"/>
        <v>0.11473154919610673</v>
      </c>
    </row>
    <row r="410" spans="1:30" hidden="1" x14ac:dyDescent="0.2">
      <c r="A410" s="30" t="s">
        <v>8840</v>
      </c>
      <c r="B410" s="29">
        <v>4</v>
      </c>
      <c r="C410" s="29">
        <v>3</v>
      </c>
      <c r="D410" s="29">
        <v>178</v>
      </c>
      <c r="E410" s="29">
        <v>934</v>
      </c>
      <c r="F410" s="29">
        <v>2169</v>
      </c>
      <c r="G410" s="29">
        <v>923</v>
      </c>
      <c r="H410" s="29">
        <v>8014</v>
      </c>
      <c r="I410" s="29">
        <v>1045</v>
      </c>
      <c r="J410" s="29">
        <v>5738024</v>
      </c>
      <c r="K410" s="29">
        <v>2388</v>
      </c>
      <c r="L410" s="29">
        <v>4767</v>
      </c>
      <c r="N410" s="34"/>
      <c r="O410" s="29">
        <f t="shared" si="54"/>
        <v>3577.5</v>
      </c>
      <c r="P410" s="32" cm="1">
        <f t="array" ref="P410">WPNFACTOR(C410)</f>
        <v>2.5</v>
      </c>
      <c r="Q410" s="34" cm="1">
        <f t="array" ref="Q410">HPFACTOr(C410)</f>
        <v>4</v>
      </c>
      <c r="R410" s="33">
        <f t="shared" si="55"/>
        <v>1431</v>
      </c>
      <c r="S410" s="34">
        <f t="shared" si="56"/>
        <v>1434506</v>
      </c>
      <c r="T410" s="33">
        <f t="shared" si="57"/>
        <v>1431</v>
      </c>
      <c r="U410" s="42">
        <f t="shared" si="58"/>
        <v>1434506</v>
      </c>
      <c r="V410" s="44"/>
      <c r="W410" s="29">
        <f t="shared" si="65"/>
        <v>2052778086</v>
      </c>
      <c r="X410" s="41">
        <f t="shared" si="59"/>
        <v>30.934930528421724</v>
      </c>
      <c r="Y410" s="33">
        <f t="shared" si="61"/>
        <v>212.85580596184946</v>
      </c>
      <c r="Z410" s="33">
        <v>0.8</v>
      </c>
      <c r="AA410" s="29">
        <f t="shared" si="62"/>
        <v>170.28464476947957</v>
      </c>
      <c r="AB410" s="48">
        <f t="shared" si="63"/>
        <v>1270.9076707219315</v>
      </c>
      <c r="AC410" s="29">
        <v>161</v>
      </c>
      <c r="AD410" s="47">
        <f t="shared" si="64"/>
        <v>0.12668111437909957</v>
      </c>
    </row>
    <row r="411" spans="1:30" hidden="1" x14ac:dyDescent="0.2">
      <c r="A411" s="30" t="s">
        <v>8840</v>
      </c>
      <c r="B411" s="29">
        <v>5</v>
      </c>
      <c r="C411" s="29">
        <v>1</v>
      </c>
      <c r="D411" s="29">
        <v>180</v>
      </c>
      <c r="E411" s="29">
        <v>2140</v>
      </c>
      <c r="F411" s="29">
        <v>1010</v>
      </c>
      <c r="G411" s="29">
        <v>890</v>
      </c>
      <c r="H411" s="29">
        <v>9295</v>
      </c>
      <c r="I411" s="29">
        <v>930</v>
      </c>
      <c r="J411" s="29">
        <v>8411975</v>
      </c>
      <c r="K411" s="29">
        <v>1934</v>
      </c>
      <c r="L411" s="29">
        <v>3858</v>
      </c>
      <c r="N411" s="34"/>
      <c r="O411" s="29">
        <f t="shared" si="54"/>
        <v>2896</v>
      </c>
      <c r="P411" s="32" cm="1">
        <f t="array" ref="P411">WPNFACTOR(C411)</f>
        <v>2</v>
      </c>
      <c r="Q411" s="34" cm="1">
        <f t="array" ref="Q411">HPFACTOr(C411)</f>
        <v>5</v>
      </c>
      <c r="R411" s="33">
        <f t="shared" si="55"/>
        <v>1448</v>
      </c>
      <c r="S411" s="34">
        <f t="shared" si="56"/>
        <v>1682395</v>
      </c>
      <c r="T411" s="33">
        <f t="shared" si="57"/>
        <v>1448</v>
      </c>
      <c r="U411" s="42">
        <f t="shared" si="58"/>
        <v>1682395</v>
      </c>
      <c r="V411" s="44"/>
      <c r="W411" s="29">
        <f t="shared" si="65"/>
        <v>2436107960</v>
      </c>
      <c r="X411" s="41">
        <f t="shared" si="59"/>
        <v>31.181930923973258</v>
      </c>
      <c r="Y411" s="33">
        <f t="shared" si="61"/>
        <v>222.16422843222838</v>
      </c>
      <c r="Z411" s="33">
        <v>0.8</v>
      </c>
      <c r="AA411" s="29">
        <f t="shared" si="62"/>
        <v>177.73138274578272</v>
      </c>
      <c r="AB411" s="48">
        <f t="shared" si="63"/>
        <v>1345.5469111667335</v>
      </c>
      <c r="AC411" s="29">
        <v>161</v>
      </c>
      <c r="AD411" s="47">
        <f t="shared" si="64"/>
        <v>0.11965394789572645</v>
      </c>
    </row>
    <row r="412" spans="1:30" hidden="1" x14ac:dyDescent="0.2">
      <c r="A412" s="30" t="s">
        <v>8840</v>
      </c>
      <c r="B412" s="29">
        <v>6</v>
      </c>
      <c r="C412" s="29">
        <v>2</v>
      </c>
      <c r="D412" s="29">
        <v>182</v>
      </c>
      <c r="E412" s="29">
        <v>802</v>
      </c>
      <c r="F412" s="29">
        <v>819</v>
      </c>
      <c r="G412" s="29">
        <v>2506</v>
      </c>
      <c r="H412" s="29">
        <v>9009</v>
      </c>
      <c r="I412" s="29">
        <v>1133</v>
      </c>
      <c r="J412" s="29">
        <v>3297294</v>
      </c>
      <c r="K412" s="29">
        <v>4401</v>
      </c>
      <c r="L412" s="29">
        <v>8783</v>
      </c>
      <c r="N412" s="34"/>
      <c r="O412" s="29">
        <f t="shared" si="54"/>
        <v>6592</v>
      </c>
      <c r="P412" s="32" cm="1">
        <f t="array" ref="P412">WPNFACTOR(C412)</f>
        <v>4.5</v>
      </c>
      <c r="Q412" s="34" cm="1">
        <f t="array" ref="Q412">HPFACTOr(C412)</f>
        <v>2</v>
      </c>
      <c r="R412" s="33">
        <f t="shared" si="55"/>
        <v>1464.8888888888889</v>
      </c>
      <c r="S412" s="34">
        <f t="shared" si="56"/>
        <v>1648647</v>
      </c>
      <c r="T412" s="33">
        <f t="shared" si="57"/>
        <v>1464.8888888888889</v>
      </c>
      <c r="U412" s="42">
        <f t="shared" si="58"/>
        <v>1648647</v>
      </c>
      <c r="V412" s="44"/>
      <c r="W412" s="29">
        <f t="shared" si="65"/>
        <v>2415084672</v>
      </c>
      <c r="X412" s="41">
        <f t="shared" si="59"/>
        <v>31.169426624303256</v>
      </c>
      <c r="Y412" s="33">
        <f t="shared" si="61"/>
        <v>221.68335748468701</v>
      </c>
      <c r="Z412" s="33">
        <v>0.8</v>
      </c>
      <c r="AA412" s="29">
        <f t="shared" si="62"/>
        <v>177.34668598774962</v>
      </c>
      <c r="AB412" s="48">
        <f t="shared" si="63"/>
        <v>1341.6650927817814</v>
      </c>
      <c r="AC412" s="29">
        <v>161</v>
      </c>
      <c r="AD412" s="47">
        <f t="shared" si="64"/>
        <v>0.12000014076999338</v>
      </c>
    </row>
    <row r="413" spans="1:30" hidden="1" x14ac:dyDescent="0.2">
      <c r="A413" s="30" t="s">
        <v>8840</v>
      </c>
      <c r="B413" s="29">
        <v>7</v>
      </c>
      <c r="C413" s="29">
        <v>1</v>
      </c>
      <c r="D413" s="29">
        <v>184</v>
      </c>
      <c r="E413" s="29">
        <v>2540</v>
      </c>
      <c r="F413" s="29">
        <v>955</v>
      </c>
      <c r="G413" s="29">
        <v>863</v>
      </c>
      <c r="H413" s="29">
        <v>10120</v>
      </c>
      <c r="I413" s="29">
        <v>1004</v>
      </c>
      <c r="J413" s="29">
        <v>9361000</v>
      </c>
      <c r="K413" s="29">
        <v>1973</v>
      </c>
      <c r="L413" s="29">
        <v>3945</v>
      </c>
      <c r="N413" s="34"/>
      <c r="O413" s="29">
        <f t="shared" si="54"/>
        <v>2959</v>
      </c>
      <c r="P413" s="32" cm="1">
        <f t="array" ref="P413">WPNFACTOR(C413)</f>
        <v>2</v>
      </c>
      <c r="Q413" s="34" cm="1">
        <f t="array" ref="Q413">HPFACTOr(C413)</f>
        <v>5</v>
      </c>
      <c r="R413" s="33">
        <f t="shared" si="55"/>
        <v>1479.5</v>
      </c>
      <c r="S413" s="34">
        <f t="shared" si="56"/>
        <v>1872200</v>
      </c>
      <c r="T413" s="33">
        <f t="shared" si="57"/>
        <v>1479.5</v>
      </c>
      <c r="U413" s="42">
        <f t="shared" si="58"/>
        <v>1872200</v>
      </c>
      <c r="V413" s="44"/>
      <c r="W413" s="29">
        <f t="shared" si="65"/>
        <v>2769919900</v>
      </c>
      <c r="X413" s="41">
        <f t="shared" si="59"/>
        <v>31.367197111291908</v>
      </c>
      <c r="Y413" s="33">
        <f t="shared" si="61"/>
        <v>229.41235472582406</v>
      </c>
      <c r="Z413" s="33">
        <v>0.8</v>
      </c>
      <c r="AA413" s="29">
        <f t="shared" si="62"/>
        <v>183.52988378065925</v>
      </c>
      <c r="AB413" s="48">
        <f t="shared" si="63"/>
        <v>1404.3943388175301</v>
      </c>
      <c r="AC413" s="29">
        <v>162</v>
      </c>
      <c r="AD413" s="47">
        <f t="shared" si="64"/>
        <v>0.11535221662627929</v>
      </c>
    </row>
    <row r="414" spans="1:30" hidden="1" x14ac:dyDescent="0.2">
      <c r="A414" s="30" t="s">
        <v>8840</v>
      </c>
      <c r="B414" s="29">
        <v>8</v>
      </c>
      <c r="C414" s="29">
        <v>2</v>
      </c>
      <c r="D414" s="29">
        <v>186</v>
      </c>
      <c r="E414" s="29">
        <v>781</v>
      </c>
      <c r="F414" s="29">
        <v>806</v>
      </c>
      <c r="G414" s="29">
        <v>2852</v>
      </c>
      <c r="H414" s="29">
        <v>9510</v>
      </c>
      <c r="I414" s="29">
        <v>1196</v>
      </c>
      <c r="J414" s="29">
        <v>3556740</v>
      </c>
      <c r="K414" s="29">
        <v>4498</v>
      </c>
      <c r="L414" s="29">
        <v>8944</v>
      </c>
      <c r="N414" s="34"/>
      <c r="O414" s="29">
        <f t="shared" si="54"/>
        <v>6721</v>
      </c>
      <c r="P414" s="32" cm="1">
        <f t="array" ref="P414">WPNFACTOR(C414)</f>
        <v>4.5</v>
      </c>
      <c r="Q414" s="34" cm="1">
        <f t="array" ref="Q414">HPFACTOr(C414)</f>
        <v>2</v>
      </c>
      <c r="R414" s="33">
        <f t="shared" si="55"/>
        <v>1493.5555555555557</v>
      </c>
      <c r="S414" s="34">
        <f t="shared" si="56"/>
        <v>1778370</v>
      </c>
      <c r="T414" s="33">
        <f t="shared" si="57"/>
        <v>1493.5555555555557</v>
      </c>
      <c r="U414" s="42">
        <f t="shared" si="58"/>
        <v>1778370</v>
      </c>
      <c r="V414" s="44"/>
      <c r="W414" s="29">
        <f t="shared" si="65"/>
        <v>2656094393.3333335</v>
      </c>
      <c r="X414" s="41">
        <f t="shared" si="59"/>
        <v>31.306659272649281</v>
      </c>
      <c r="Y414" s="33">
        <f t="shared" si="61"/>
        <v>227.01830475031096</v>
      </c>
      <c r="Z414" s="33">
        <v>0.8</v>
      </c>
      <c r="AA414" s="29">
        <f t="shared" si="62"/>
        <v>181.61464380024879</v>
      </c>
      <c r="AB414" s="48">
        <f t="shared" si="63"/>
        <v>1384.8875202799456</v>
      </c>
      <c r="AC414" s="29">
        <v>162</v>
      </c>
      <c r="AD414" s="47">
        <f t="shared" si="64"/>
        <v>0.11697700905504066</v>
      </c>
    </row>
    <row r="415" spans="1:30" hidden="1" x14ac:dyDescent="0.2">
      <c r="A415" s="30" t="s">
        <v>8840</v>
      </c>
      <c r="B415" s="29">
        <v>9</v>
      </c>
      <c r="C415" s="29">
        <v>1</v>
      </c>
      <c r="D415" s="29">
        <v>188</v>
      </c>
      <c r="E415" s="29">
        <v>2885</v>
      </c>
      <c r="F415" s="29">
        <v>972</v>
      </c>
      <c r="G415" s="29">
        <v>897</v>
      </c>
      <c r="H415" s="29">
        <v>11500</v>
      </c>
      <c r="I415" s="29">
        <v>1118</v>
      </c>
      <c r="J415" s="29">
        <v>10867500</v>
      </c>
      <c r="K415" s="29">
        <v>2017</v>
      </c>
      <c r="L415" s="29">
        <v>4027</v>
      </c>
      <c r="N415" s="34"/>
      <c r="O415" s="29">
        <f t="shared" si="54"/>
        <v>3022</v>
      </c>
      <c r="P415" s="32" cm="1">
        <f t="array" ref="P415">WPNFACTOR(C415)</f>
        <v>2</v>
      </c>
      <c r="Q415" s="34" cm="1">
        <f t="array" ref="Q415">HPFACTOr(C415)</f>
        <v>5</v>
      </c>
      <c r="R415" s="33">
        <f t="shared" si="55"/>
        <v>1511</v>
      </c>
      <c r="S415" s="34">
        <f t="shared" si="56"/>
        <v>2173500</v>
      </c>
      <c r="T415" s="33">
        <f t="shared" si="57"/>
        <v>1511</v>
      </c>
      <c r="U415" s="42">
        <f t="shared" si="58"/>
        <v>2173500</v>
      </c>
      <c r="V415" s="44"/>
      <c r="W415" s="29">
        <f t="shared" si="65"/>
        <v>3284158500</v>
      </c>
      <c r="X415" s="41">
        <f t="shared" si="59"/>
        <v>31.612876610105005</v>
      </c>
      <c r="Y415" s="33">
        <f t="shared" si="61"/>
        <v>239.39001239175974</v>
      </c>
      <c r="Z415" s="33">
        <v>0.8</v>
      </c>
      <c r="AA415" s="29">
        <f t="shared" si="62"/>
        <v>191.51200991340781</v>
      </c>
      <c r="AB415" s="48">
        <f t="shared" si="63"/>
        <v>1486.4194162292895</v>
      </c>
      <c r="AC415" s="29">
        <v>171</v>
      </c>
      <c r="AD415" s="47">
        <f t="shared" si="64"/>
        <v>0.11504155431028236</v>
      </c>
    </row>
    <row r="416" spans="1:30" hidden="1" x14ac:dyDescent="0.2">
      <c r="A416" s="30" t="s">
        <v>8840</v>
      </c>
      <c r="B416" s="29">
        <v>10</v>
      </c>
      <c r="C416" s="29">
        <v>3</v>
      </c>
      <c r="D416" s="29">
        <v>190</v>
      </c>
      <c r="E416" s="29">
        <v>839</v>
      </c>
      <c r="F416" s="29">
        <v>3218</v>
      </c>
      <c r="G416" s="29">
        <v>809</v>
      </c>
      <c r="H416" s="29">
        <v>11720</v>
      </c>
      <c r="I416" s="29">
        <v>1109</v>
      </c>
      <c r="J416" s="29">
        <v>8954080</v>
      </c>
      <c r="K416" s="29">
        <v>2547</v>
      </c>
      <c r="L416" s="29">
        <v>5092</v>
      </c>
      <c r="N416" s="34"/>
      <c r="O416" s="29">
        <f t="shared" si="54"/>
        <v>3819.5</v>
      </c>
      <c r="P416" s="32" cm="1">
        <f t="array" ref="P416">WPNFACTOR(C416)</f>
        <v>2.5</v>
      </c>
      <c r="Q416" s="34" cm="1">
        <f t="array" ref="Q416">HPFACTOr(C416)</f>
        <v>4</v>
      </c>
      <c r="R416" s="33">
        <f t="shared" si="55"/>
        <v>1527.8</v>
      </c>
      <c r="S416" s="34">
        <f t="shared" si="56"/>
        <v>2238520</v>
      </c>
      <c r="T416" s="33">
        <f t="shared" si="57"/>
        <v>1527.8</v>
      </c>
      <c r="U416" s="42">
        <f t="shared" si="58"/>
        <v>2238520</v>
      </c>
      <c r="V416" s="44"/>
      <c r="W416" s="29">
        <f t="shared" si="65"/>
        <v>3420010856</v>
      </c>
      <c r="X416" s="41">
        <f t="shared" si="59"/>
        <v>31.671353758592321</v>
      </c>
      <c r="Y416" s="33">
        <f t="shared" si="61"/>
        <v>241.82815982763825</v>
      </c>
      <c r="Z416" s="33">
        <v>0.8</v>
      </c>
      <c r="AA416" s="29">
        <f t="shared" si="62"/>
        <v>193.46252786211062</v>
      </c>
      <c r="AB416" s="48">
        <f t="shared" si="63"/>
        <v>1506.6388487393604</v>
      </c>
      <c r="AC416" s="29">
        <v>190</v>
      </c>
      <c r="AD416" s="47">
        <f t="shared" si="64"/>
        <v>0.1261085230604384</v>
      </c>
    </row>
    <row r="417" spans="1:30" hidden="1" x14ac:dyDescent="0.2">
      <c r="A417" s="30" t="s">
        <v>8841</v>
      </c>
      <c r="B417" s="29">
        <v>1</v>
      </c>
      <c r="C417" s="29">
        <v>3</v>
      </c>
      <c r="D417" s="29">
        <v>192</v>
      </c>
      <c r="E417" s="29">
        <v>969</v>
      </c>
      <c r="F417" s="29">
        <v>2534</v>
      </c>
      <c r="G417" s="29">
        <v>969</v>
      </c>
      <c r="H417" s="29">
        <v>9185</v>
      </c>
      <c r="I417" s="29">
        <v>1142</v>
      </c>
      <c r="J417" s="29">
        <v>7090820</v>
      </c>
      <c r="K417" s="29">
        <v>2598</v>
      </c>
      <c r="L417" s="29">
        <v>5104</v>
      </c>
      <c r="N417" s="34"/>
      <c r="O417" s="29">
        <f t="shared" si="54"/>
        <v>3851</v>
      </c>
      <c r="P417" s="32" cm="1">
        <f t="array" ref="P417">WPNFACTOR(C417)</f>
        <v>2.5</v>
      </c>
      <c r="Q417" s="34" cm="1">
        <f t="array" ref="Q417">HPFACTOr(C417)</f>
        <v>4</v>
      </c>
      <c r="R417" s="33">
        <f t="shared" si="55"/>
        <v>1540.4</v>
      </c>
      <c r="S417" s="34">
        <f t="shared" si="56"/>
        <v>1772705</v>
      </c>
      <c r="T417" s="33">
        <f t="shared" si="57"/>
        <v>1540.4</v>
      </c>
      <c r="U417" s="42">
        <f t="shared" si="58"/>
        <v>1772705</v>
      </c>
      <c r="V417" s="44"/>
      <c r="W417" s="29">
        <f t="shared" si="65"/>
        <v>2730674782</v>
      </c>
      <c r="X417" s="41">
        <f t="shared" si="59"/>
        <v>31.346610356176416</v>
      </c>
      <c r="Y417" s="33">
        <f t="shared" si="61"/>
        <v>228.59540421762071</v>
      </c>
      <c r="Z417" s="33">
        <v>0.8</v>
      </c>
      <c r="AA417" s="29">
        <f t="shared" si="62"/>
        <v>182.87632337409659</v>
      </c>
      <c r="AB417" s="48">
        <f t="shared" si="63"/>
        <v>1397.7301282244919</v>
      </c>
      <c r="AC417" s="29">
        <v>171</v>
      </c>
      <c r="AD417" s="47">
        <f t="shared" si="64"/>
        <v>0.12234121347675164</v>
      </c>
    </row>
    <row r="418" spans="1:30" hidden="1" x14ac:dyDescent="0.2">
      <c r="A418" s="30" t="s">
        <v>8841</v>
      </c>
      <c r="B418" s="29">
        <v>2</v>
      </c>
      <c r="C418" s="29">
        <v>1</v>
      </c>
      <c r="D418" s="29">
        <v>194</v>
      </c>
      <c r="E418" s="29">
        <v>2562</v>
      </c>
      <c r="F418" s="29">
        <v>1018</v>
      </c>
      <c r="G418" s="29">
        <v>945</v>
      </c>
      <c r="H418" s="29">
        <v>10576</v>
      </c>
      <c r="I418" s="29">
        <v>1050</v>
      </c>
      <c r="J418" s="29">
        <v>10311600</v>
      </c>
      <c r="K418" s="29">
        <v>2112</v>
      </c>
      <c r="L418" s="29">
        <v>4151</v>
      </c>
      <c r="N418" s="34"/>
      <c r="O418" s="29">
        <f t="shared" si="54"/>
        <v>3131.5</v>
      </c>
      <c r="P418" s="32" cm="1">
        <f t="array" ref="P418">WPNFACTOR(C418)</f>
        <v>2</v>
      </c>
      <c r="Q418" s="34" cm="1">
        <f t="array" ref="Q418">HPFACTOr(C418)</f>
        <v>5</v>
      </c>
      <c r="R418" s="33">
        <f t="shared" si="55"/>
        <v>1565.75</v>
      </c>
      <c r="S418" s="34">
        <f t="shared" si="56"/>
        <v>2062320</v>
      </c>
      <c r="T418" s="33">
        <f t="shared" si="57"/>
        <v>1565.75</v>
      </c>
      <c r="U418" s="42">
        <f t="shared" si="58"/>
        <v>2062320</v>
      </c>
      <c r="V418" s="44"/>
      <c r="W418" s="29">
        <f t="shared" si="65"/>
        <v>3229077540</v>
      </c>
      <c r="X418" s="41">
        <f t="shared" si="59"/>
        <v>31.588474938862074</v>
      </c>
      <c r="Y418" s="33">
        <f t="shared" si="61"/>
        <v>238.37989188530742</v>
      </c>
      <c r="Z418" s="33">
        <v>0.8</v>
      </c>
      <c r="AA418" s="29">
        <f t="shared" si="62"/>
        <v>190.70391350824593</v>
      </c>
      <c r="AB418" s="48">
        <f t="shared" si="63"/>
        <v>1478.0625884847186</v>
      </c>
      <c r="AC418" s="29">
        <v>180</v>
      </c>
      <c r="AD418" s="47">
        <f t="shared" si="64"/>
        <v>0.12178104053396856</v>
      </c>
    </row>
    <row r="419" spans="1:30" hidden="1" x14ac:dyDescent="0.2">
      <c r="A419" s="30" t="s">
        <v>8841</v>
      </c>
      <c r="B419" s="29">
        <v>3</v>
      </c>
      <c r="C419" s="29">
        <v>1</v>
      </c>
      <c r="D419" s="29">
        <v>196</v>
      </c>
      <c r="E419" s="29">
        <v>2751</v>
      </c>
      <c r="F419" s="29">
        <v>966</v>
      </c>
      <c r="G419" s="29">
        <v>875</v>
      </c>
      <c r="H419" s="29">
        <v>10934</v>
      </c>
      <c r="I419" s="29">
        <v>1064</v>
      </c>
      <c r="J419" s="29">
        <v>10769990</v>
      </c>
      <c r="K419" s="29">
        <v>2110</v>
      </c>
      <c r="L419" s="29">
        <v>4200</v>
      </c>
      <c r="N419" s="34"/>
      <c r="O419" s="29">
        <f t="shared" si="54"/>
        <v>3155</v>
      </c>
      <c r="P419" s="32" cm="1">
        <f t="array" ref="P419">WPNFACTOR(C419)</f>
        <v>2</v>
      </c>
      <c r="Q419" s="34" cm="1">
        <f t="array" ref="Q419">HPFACTOr(C419)</f>
        <v>5</v>
      </c>
      <c r="R419" s="33">
        <f t="shared" si="55"/>
        <v>1577.5</v>
      </c>
      <c r="S419" s="34">
        <f t="shared" si="56"/>
        <v>2153998</v>
      </c>
      <c r="T419" s="33">
        <f t="shared" si="57"/>
        <v>1577.5</v>
      </c>
      <c r="U419" s="42">
        <f t="shared" si="58"/>
        <v>2153998</v>
      </c>
      <c r="V419" s="44"/>
      <c r="W419" s="29">
        <f t="shared" si="65"/>
        <v>3397931845</v>
      </c>
      <c r="X419" s="41">
        <f t="shared" si="59"/>
        <v>31.66200976952587</v>
      </c>
      <c r="Y419" s="33">
        <f t="shared" si="61"/>
        <v>241.43691094768079</v>
      </c>
      <c r="Z419" s="33">
        <v>0.8</v>
      </c>
      <c r="AA419" s="29">
        <f t="shared" si="62"/>
        <v>193.14952875814464</v>
      </c>
      <c r="AB419" s="48">
        <f t="shared" si="63"/>
        <v>1503.3896448059879</v>
      </c>
      <c r="AC419" s="29">
        <v>180</v>
      </c>
      <c r="AD419" s="47">
        <f t="shared" si="64"/>
        <v>0.11972943981746592</v>
      </c>
    </row>
    <row r="420" spans="1:30" hidden="1" x14ac:dyDescent="0.2">
      <c r="A420" s="30" t="s">
        <v>8841</v>
      </c>
      <c r="B420" s="29">
        <v>4</v>
      </c>
      <c r="C420" s="29">
        <v>3</v>
      </c>
      <c r="D420" s="29">
        <v>198</v>
      </c>
      <c r="E420" s="29">
        <v>832</v>
      </c>
      <c r="F420" s="29">
        <v>3226</v>
      </c>
      <c r="G420" s="29">
        <v>838</v>
      </c>
      <c r="H420" s="29">
        <v>9702</v>
      </c>
      <c r="I420" s="29">
        <v>1257</v>
      </c>
      <c r="J420" s="29">
        <v>7722792</v>
      </c>
      <c r="K420" s="29">
        <v>2653</v>
      </c>
      <c r="L420" s="29">
        <v>5305</v>
      </c>
      <c r="N420" s="34"/>
      <c r="O420" s="29">
        <f t="shared" si="54"/>
        <v>3979</v>
      </c>
      <c r="P420" s="32" cm="1">
        <f t="array" ref="P420">WPNFACTOR(C420)</f>
        <v>2.5</v>
      </c>
      <c r="Q420" s="34" cm="1">
        <f t="array" ref="Q420">HPFACTOr(C420)</f>
        <v>4</v>
      </c>
      <c r="R420" s="33">
        <f t="shared" si="55"/>
        <v>1591.6</v>
      </c>
      <c r="S420" s="34">
        <f t="shared" si="56"/>
        <v>1930698</v>
      </c>
      <c r="T420" s="33">
        <f t="shared" si="57"/>
        <v>1591.6</v>
      </c>
      <c r="U420" s="42">
        <f t="shared" si="58"/>
        <v>1930698</v>
      </c>
      <c r="V420" s="44"/>
      <c r="W420" s="29">
        <f t="shared" si="65"/>
        <v>3072898936.7999997</v>
      </c>
      <c r="X420" s="41">
        <f t="shared" si="59"/>
        <v>31.516953173544845</v>
      </c>
      <c r="Y420" s="33">
        <f t="shared" si="61"/>
        <v>235.44369740125072</v>
      </c>
      <c r="Z420" s="33">
        <v>0.8</v>
      </c>
      <c r="AA420" s="29">
        <f t="shared" si="62"/>
        <v>188.35495792100059</v>
      </c>
      <c r="AB420" s="48">
        <f t="shared" si="63"/>
        <v>1453.8382552783926</v>
      </c>
      <c r="AC420" s="29">
        <v>190</v>
      </c>
      <c r="AD420" s="47">
        <f t="shared" si="64"/>
        <v>0.13068854070263633</v>
      </c>
    </row>
    <row r="421" spans="1:30" hidden="1" x14ac:dyDescent="0.2">
      <c r="A421" s="30" t="s">
        <v>8841</v>
      </c>
      <c r="B421" s="29">
        <v>5</v>
      </c>
      <c r="C421" s="29">
        <v>1</v>
      </c>
      <c r="D421" s="29">
        <v>200</v>
      </c>
      <c r="E421" s="29">
        <v>3115</v>
      </c>
      <c r="F421" s="29">
        <v>936</v>
      </c>
      <c r="G421" s="29">
        <v>852</v>
      </c>
      <c r="H421" s="29">
        <v>11517</v>
      </c>
      <c r="I421" s="29">
        <v>1026</v>
      </c>
      <c r="J421" s="29">
        <v>11574585</v>
      </c>
      <c r="K421" s="29">
        <v>2145</v>
      </c>
      <c r="L421" s="29">
        <v>4287</v>
      </c>
      <c r="N421" s="34"/>
      <c r="O421" s="29">
        <f t="shared" si="54"/>
        <v>3216</v>
      </c>
      <c r="P421" s="32" cm="1">
        <f t="array" ref="P421">WPNFACTOR(C421)</f>
        <v>2</v>
      </c>
      <c r="Q421" s="34" cm="1">
        <f t="array" ref="Q421">HPFACTOr(C421)</f>
        <v>5</v>
      </c>
      <c r="R421" s="33">
        <f t="shared" si="55"/>
        <v>1608</v>
      </c>
      <c r="S421" s="34">
        <f t="shared" si="56"/>
        <v>2314917</v>
      </c>
      <c r="T421" s="33">
        <f t="shared" si="57"/>
        <v>1608</v>
      </c>
      <c r="U421" s="42">
        <f t="shared" si="58"/>
        <v>2314917</v>
      </c>
      <c r="V421" s="44"/>
      <c r="W421" s="29">
        <f t="shared" si="65"/>
        <v>3722386536</v>
      </c>
      <c r="X421" s="41">
        <f t="shared" si="59"/>
        <v>31.793580727925967</v>
      </c>
      <c r="Y421" s="33">
        <f t="shared" si="61"/>
        <v>247.00478535982549</v>
      </c>
      <c r="Z421" s="33">
        <v>0.8</v>
      </c>
      <c r="AA421" s="29">
        <f t="shared" si="62"/>
        <v>197.60382828786041</v>
      </c>
      <c r="AB421" s="48">
        <f t="shared" si="63"/>
        <v>1549.7934564882107</v>
      </c>
      <c r="AC421" s="29">
        <v>193</v>
      </c>
      <c r="AD421" s="47">
        <f t="shared" si="64"/>
        <v>0.12453272350067388</v>
      </c>
    </row>
    <row r="422" spans="1:30" hidden="1" x14ac:dyDescent="0.2">
      <c r="A422" s="30" t="s">
        <v>8841</v>
      </c>
      <c r="B422" s="29">
        <v>6</v>
      </c>
      <c r="C422" s="29">
        <v>2</v>
      </c>
      <c r="D422" s="29">
        <v>202</v>
      </c>
      <c r="E422" s="29">
        <v>876</v>
      </c>
      <c r="F422" s="29">
        <v>872</v>
      </c>
      <c r="G422" s="29">
        <v>3580</v>
      </c>
      <c r="H422" s="29">
        <v>10373</v>
      </c>
      <c r="I422" s="29">
        <v>1189</v>
      </c>
      <c r="J422" s="29">
        <v>4211438</v>
      </c>
      <c r="K422" s="29">
        <v>5043</v>
      </c>
      <c r="L422" s="29">
        <v>9742</v>
      </c>
      <c r="N422" s="34"/>
      <c r="O422" s="29">
        <f t="shared" si="54"/>
        <v>7392.5</v>
      </c>
      <c r="P422" s="32" cm="1">
        <f t="array" ref="P422">WPNFACTOR(C422)</f>
        <v>4.5</v>
      </c>
      <c r="Q422" s="34" cm="1">
        <f t="array" ref="Q422">HPFACTOr(C422)</f>
        <v>2</v>
      </c>
      <c r="R422" s="33">
        <f t="shared" si="55"/>
        <v>1642.7777777777778</v>
      </c>
      <c r="S422" s="34">
        <f t="shared" si="56"/>
        <v>2105719</v>
      </c>
      <c r="T422" s="33">
        <f t="shared" si="57"/>
        <v>1642.7777777777778</v>
      </c>
      <c r="U422" s="42">
        <f t="shared" si="58"/>
        <v>2105719</v>
      </c>
      <c r="V422" s="44"/>
      <c r="W422" s="29">
        <f t="shared" si="65"/>
        <v>3459228379.4444447</v>
      </c>
      <c r="X422" s="41">
        <f t="shared" si="59"/>
        <v>31.687803118062945</v>
      </c>
      <c r="Y422" s="33">
        <f t="shared" si="61"/>
        <v>242.51846392016003</v>
      </c>
      <c r="Z422" s="33">
        <v>0.8</v>
      </c>
      <c r="AA422" s="29">
        <f t="shared" si="62"/>
        <v>194.01477113612805</v>
      </c>
      <c r="AB422" s="48">
        <f t="shared" si="63"/>
        <v>1512.3758891956204</v>
      </c>
      <c r="AC422" s="29">
        <v>193</v>
      </c>
      <c r="AD422" s="47">
        <f t="shared" si="64"/>
        <v>0.12761377735441809</v>
      </c>
    </row>
    <row r="423" spans="1:30" hidden="1" x14ac:dyDescent="0.2">
      <c r="A423" s="30" t="s">
        <v>8841</v>
      </c>
      <c r="B423" s="29">
        <v>7</v>
      </c>
      <c r="C423" s="29">
        <v>1</v>
      </c>
      <c r="D423" s="29">
        <v>204</v>
      </c>
      <c r="E423" s="29">
        <v>3162</v>
      </c>
      <c r="F423" s="29">
        <v>1032</v>
      </c>
      <c r="G423" s="29">
        <v>977</v>
      </c>
      <c r="H423" s="29">
        <v>13156</v>
      </c>
      <c r="I423" s="29">
        <v>1045</v>
      </c>
      <c r="J423" s="29">
        <v>13484900</v>
      </c>
      <c r="K423" s="29">
        <v>2187</v>
      </c>
      <c r="L423" s="29">
        <v>4369</v>
      </c>
      <c r="N423" s="34"/>
      <c r="O423" s="29">
        <f t="shared" ref="O423:O486" si="66">AVERAGE(K423, L423)</f>
        <v>3278</v>
      </c>
      <c r="P423" s="32" cm="1">
        <f t="array" ref="P423">WPNFACTOR(C423)</f>
        <v>2</v>
      </c>
      <c r="Q423" s="34" cm="1">
        <f t="array" ref="Q423">HPFACTOr(C423)</f>
        <v>5</v>
      </c>
      <c r="R423" s="33">
        <f t="shared" ref="R423:R486" si="67">O423/P423</f>
        <v>1639</v>
      </c>
      <c r="S423" s="34">
        <f t="shared" ref="S423:S486" si="68">J423/Q423</f>
        <v>2696980</v>
      </c>
      <c r="T423" s="33">
        <f t="shared" ref="T423:T486" si="69">R423*(1 + (N423/400))</f>
        <v>1639</v>
      </c>
      <c r="U423" s="42">
        <f t="shared" ref="U423:U486" si="70">S423*1.6/(1 + (0.6*(1 - (M423/100))))</f>
        <v>2696980</v>
      </c>
      <c r="V423" s="44"/>
      <c r="W423" s="29">
        <f t="shared" si="65"/>
        <v>4420350220</v>
      </c>
      <c r="X423" s="41">
        <f t="shared" ref="X423:X486" si="71">LOG(W423, 2)</f>
        <v>32.041513531440309</v>
      </c>
      <c r="Y423" s="33">
        <f t="shared" si="61"/>
        <v>257.84823909700634</v>
      </c>
      <c r="Z423" s="33">
        <v>0.8</v>
      </c>
      <c r="AA423" s="29">
        <f t="shared" si="62"/>
        <v>206.27859127760507</v>
      </c>
      <c r="AB423" s="48">
        <f t="shared" si="63"/>
        <v>1641.1649243678276</v>
      </c>
      <c r="AC423" s="29">
        <v>193</v>
      </c>
      <c r="AD423" s="47">
        <f t="shared" si="64"/>
        <v>0.11759939365895423</v>
      </c>
    </row>
    <row r="424" spans="1:30" hidden="1" x14ac:dyDescent="0.2">
      <c r="A424" s="30" t="s">
        <v>8841</v>
      </c>
      <c r="B424" s="29">
        <v>8</v>
      </c>
      <c r="C424" s="29">
        <v>3</v>
      </c>
      <c r="D424" s="29">
        <v>206</v>
      </c>
      <c r="E424" s="29">
        <v>919</v>
      </c>
      <c r="F424" s="29">
        <v>3531</v>
      </c>
      <c r="G424" s="29">
        <v>882</v>
      </c>
      <c r="H424" s="29">
        <v>13756</v>
      </c>
      <c r="I424" s="29">
        <v>1269</v>
      </c>
      <c r="J424" s="29">
        <v>11389968</v>
      </c>
      <c r="K424" s="29">
        <v>2796</v>
      </c>
      <c r="L424" s="29">
        <v>5518</v>
      </c>
      <c r="N424" s="34"/>
      <c r="O424" s="29">
        <f t="shared" si="66"/>
        <v>4157</v>
      </c>
      <c r="P424" s="32" cm="1">
        <f t="array" ref="P424">WPNFACTOR(C424)</f>
        <v>2.5</v>
      </c>
      <c r="Q424" s="34" cm="1">
        <f t="array" ref="Q424">HPFACTOr(C424)</f>
        <v>4</v>
      </c>
      <c r="R424" s="33">
        <f t="shared" si="67"/>
        <v>1662.8</v>
      </c>
      <c r="S424" s="34">
        <f t="shared" si="68"/>
        <v>2847492</v>
      </c>
      <c r="T424" s="33">
        <f t="shared" si="69"/>
        <v>1662.8</v>
      </c>
      <c r="U424" s="42">
        <f t="shared" si="70"/>
        <v>2847492</v>
      </c>
      <c r="V424" s="44"/>
      <c r="W424" s="29">
        <f t="shared" si="65"/>
        <v>4734809697.5999994</v>
      </c>
      <c r="X424" s="41">
        <f t="shared" si="71"/>
        <v>32.140659295763129</v>
      </c>
      <c r="Y424" s="33">
        <f t="shared" ref="Y424:Y487" si="72">POWER(W424, 1/4)</f>
        <v>262.31651392483172</v>
      </c>
      <c r="Z424" s="33">
        <v>0.8</v>
      </c>
      <c r="AA424" s="29">
        <f t="shared" ref="AA424:AA487" si="73">Y424*Z424</f>
        <v>209.85321113986538</v>
      </c>
      <c r="AB424" s="48">
        <f t="shared" ref="AB424:AB487" si="74">POWER(W424, 1/$AB$1)</f>
        <v>1679.1938802656775</v>
      </c>
      <c r="AC424" s="29">
        <v>208</v>
      </c>
      <c r="AD424" s="47">
        <f t="shared" ref="AD424:AD487" si="75">IF(AC424 = "", ,AC424/AB424)</f>
        <v>0.12386896024602638</v>
      </c>
    </row>
    <row r="425" spans="1:30" hidden="1" x14ac:dyDescent="0.2">
      <c r="A425" s="30" t="s">
        <v>8841</v>
      </c>
      <c r="B425" s="29">
        <v>9</v>
      </c>
      <c r="C425" s="29">
        <v>3</v>
      </c>
      <c r="D425" s="29">
        <v>208</v>
      </c>
      <c r="E425" s="29">
        <v>945</v>
      </c>
      <c r="F425" s="29">
        <v>3655</v>
      </c>
      <c r="G425" s="29">
        <v>913</v>
      </c>
      <c r="H425" s="29">
        <v>15252</v>
      </c>
      <c r="I425" s="29">
        <v>1323</v>
      </c>
      <c r="J425" s="29">
        <v>12750672</v>
      </c>
      <c r="K425" s="29">
        <v>2799</v>
      </c>
      <c r="L425" s="29">
        <v>5566</v>
      </c>
      <c r="N425" s="34"/>
      <c r="O425" s="29">
        <f t="shared" si="66"/>
        <v>4182.5</v>
      </c>
      <c r="P425" s="32" cm="1">
        <f t="array" ref="P425">WPNFACTOR(C425)</f>
        <v>2.5</v>
      </c>
      <c r="Q425" s="34" cm="1">
        <f t="array" ref="Q425">HPFACTOr(C425)</f>
        <v>4</v>
      </c>
      <c r="R425" s="33">
        <f t="shared" si="67"/>
        <v>1673</v>
      </c>
      <c r="S425" s="34">
        <f t="shared" si="68"/>
        <v>3187668</v>
      </c>
      <c r="T425" s="33">
        <f t="shared" si="69"/>
        <v>1673</v>
      </c>
      <c r="U425" s="42">
        <f t="shared" si="70"/>
        <v>3187668.0000000005</v>
      </c>
      <c r="V425" s="44"/>
      <c r="W425" s="29">
        <f t="shared" si="65"/>
        <v>5332968564.000001</v>
      </c>
      <c r="X425" s="41">
        <f t="shared" si="71"/>
        <v>32.312291677845352</v>
      </c>
      <c r="Y425" s="33">
        <f t="shared" si="72"/>
        <v>270.23541012683125</v>
      </c>
      <c r="Z425" s="33">
        <v>0.8</v>
      </c>
      <c r="AA425" s="29">
        <f t="shared" si="73"/>
        <v>216.188328101465</v>
      </c>
      <c r="AB425" s="48">
        <f t="shared" si="74"/>
        <v>1747.121096644003</v>
      </c>
      <c r="AC425" s="29">
        <v>216</v>
      </c>
      <c r="AD425" s="47">
        <f t="shared" si="75"/>
        <v>0.12363195683167497</v>
      </c>
    </row>
    <row r="426" spans="1:30" hidden="1" x14ac:dyDescent="0.2">
      <c r="A426" s="30" t="s">
        <v>8841</v>
      </c>
      <c r="B426" s="29">
        <v>10</v>
      </c>
      <c r="C426" s="29">
        <v>1</v>
      </c>
      <c r="D426" s="29">
        <v>210</v>
      </c>
      <c r="E426" s="29">
        <v>3720</v>
      </c>
      <c r="F426" s="29">
        <v>1155</v>
      </c>
      <c r="G426" s="29">
        <v>1080</v>
      </c>
      <c r="H426" s="29">
        <v>15840</v>
      </c>
      <c r="I426" s="29">
        <v>1020</v>
      </c>
      <c r="J426" s="29">
        <v>16711200</v>
      </c>
      <c r="K426" s="29">
        <v>2293</v>
      </c>
      <c r="L426" s="29">
        <v>4412</v>
      </c>
      <c r="N426" s="34"/>
      <c r="O426" s="29">
        <f t="shared" si="66"/>
        <v>3352.5</v>
      </c>
      <c r="P426" s="32" cm="1">
        <f t="array" ref="P426">WPNFACTOR(C426)</f>
        <v>2</v>
      </c>
      <c r="Q426" s="34" cm="1">
        <f t="array" ref="Q426">HPFACTOr(C426)</f>
        <v>5</v>
      </c>
      <c r="R426" s="33">
        <f t="shared" si="67"/>
        <v>1676.25</v>
      </c>
      <c r="S426" s="34">
        <f t="shared" si="68"/>
        <v>3342240</v>
      </c>
      <c r="T426" s="33">
        <f t="shared" si="69"/>
        <v>1676.25</v>
      </c>
      <c r="U426" s="42">
        <f t="shared" si="70"/>
        <v>3342240</v>
      </c>
      <c r="V426" s="44"/>
      <c r="W426" s="29">
        <f t="shared" si="65"/>
        <v>5602429800</v>
      </c>
      <c r="X426" s="41">
        <f t="shared" si="71"/>
        <v>32.383405520465992</v>
      </c>
      <c r="Y426" s="33">
        <f t="shared" si="72"/>
        <v>273.58614869719105</v>
      </c>
      <c r="Z426" s="33">
        <v>0.8</v>
      </c>
      <c r="AA426" s="29">
        <f t="shared" si="73"/>
        <v>218.86891895775284</v>
      </c>
      <c r="AB426" s="48">
        <f t="shared" si="74"/>
        <v>1776.0648031503906</v>
      </c>
      <c r="AC426" s="29">
        <v>216</v>
      </c>
      <c r="AD426" s="47">
        <f t="shared" si="75"/>
        <v>0.12161718402214737</v>
      </c>
    </row>
    <row r="427" spans="1:30" hidden="1" x14ac:dyDescent="0.2">
      <c r="A427" s="30" t="s">
        <v>8842</v>
      </c>
      <c r="B427" s="29">
        <v>1</v>
      </c>
      <c r="C427" s="29">
        <v>3</v>
      </c>
      <c r="D427" s="29">
        <v>212</v>
      </c>
      <c r="E427" s="29">
        <v>1026</v>
      </c>
      <c r="F427" s="29">
        <v>3219</v>
      </c>
      <c r="G427" s="29">
        <v>1066</v>
      </c>
      <c r="H427" s="29">
        <v>10054</v>
      </c>
      <c r="I427" s="29">
        <v>1358</v>
      </c>
      <c r="J427" s="29">
        <v>8566008</v>
      </c>
      <c r="K427" s="29">
        <v>2876</v>
      </c>
      <c r="L427" s="29">
        <v>5648</v>
      </c>
      <c r="N427" s="34"/>
      <c r="O427" s="29">
        <f t="shared" si="66"/>
        <v>4262</v>
      </c>
      <c r="P427" s="32" cm="1">
        <f t="array" ref="P427">WPNFACTOR(C427)</f>
        <v>2.5</v>
      </c>
      <c r="Q427" s="34" cm="1">
        <f t="array" ref="Q427">HPFACTOr(C427)</f>
        <v>4</v>
      </c>
      <c r="R427" s="33">
        <f t="shared" si="67"/>
        <v>1704.8</v>
      </c>
      <c r="S427" s="34">
        <f t="shared" si="68"/>
        <v>2141502</v>
      </c>
      <c r="T427" s="33">
        <f t="shared" si="69"/>
        <v>1704.8</v>
      </c>
      <c r="U427" s="42">
        <f t="shared" si="70"/>
        <v>2141502</v>
      </c>
      <c r="V427" s="44"/>
      <c r="W427" s="29">
        <f t="shared" si="65"/>
        <v>3650832609.5999999</v>
      </c>
      <c r="X427" s="41">
        <f t="shared" si="71"/>
        <v>31.765578376816546</v>
      </c>
      <c r="Y427" s="33">
        <f t="shared" si="72"/>
        <v>245.80911334027383</v>
      </c>
      <c r="Z427" s="33">
        <v>0.8</v>
      </c>
      <c r="AA427" s="29">
        <f t="shared" si="73"/>
        <v>196.64729067221907</v>
      </c>
      <c r="AB427" s="48">
        <f t="shared" si="74"/>
        <v>1539.7987888012403</v>
      </c>
      <c r="AC427" s="29">
        <v>194</v>
      </c>
      <c r="AD427" s="47">
        <f t="shared" si="75"/>
        <v>0.12599048746559433</v>
      </c>
    </row>
    <row r="428" spans="1:30" hidden="1" x14ac:dyDescent="0.2">
      <c r="A428" s="30" t="s">
        <v>8842</v>
      </c>
      <c r="B428" s="29">
        <v>2</v>
      </c>
      <c r="C428" s="29">
        <v>3</v>
      </c>
      <c r="D428" s="29">
        <v>214</v>
      </c>
      <c r="E428" s="29">
        <v>838</v>
      </c>
      <c r="F428" s="29">
        <v>3578</v>
      </c>
      <c r="G428" s="29">
        <v>885</v>
      </c>
      <c r="H428" s="29">
        <v>11242</v>
      </c>
      <c r="I428" s="29">
        <v>1367</v>
      </c>
      <c r="J428" s="29">
        <v>9668120</v>
      </c>
      <c r="K428" s="29">
        <v>2874</v>
      </c>
      <c r="L428" s="29">
        <v>5717</v>
      </c>
      <c r="N428" s="34"/>
      <c r="O428" s="29">
        <f t="shared" si="66"/>
        <v>4295.5</v>
      </c>
      <c r="P428" s="32" cm="1">
        <f t="array" ref="P428">WPNFACTOR(C428)</f>
        <v>2.5</v>
      </c>
      <c r="Q428" s="34" cm="1">
        <f t="array" ref="Q428">HPFACTOr(C428)</f>
        <v>4</v>
      </c>
      <c r="R428" s="33">
        <f t="shared" si="67"/>
        <v>1718.2</v>
      </c>
      <c r="S428" s="34">
        <f t="shared" si="68"/>
        <v>2417030</v>
      </c>
      <c r="T428" s="33">
        <f t="shared" si="69"/>
        <v>1718.2</v>
      </c>
      <c r="U428" s="42">
        <f t="shared" si="70"/>
        <v>2417030</v>
      </c>
      <c r="V428" s="44"/>
      <c r="W428" s="29">
        <f t="shared" si="65"/>
        <v>4152940946</v>
      </c>
      <c r="X428" s="41">
        <f t="shared" si="71"/>
        <v>31.951486211056292</v>
      </c>
      <c r="Y428" s="33">
        <f t="shared" si="72"/>
        <v>253.85688046395347</v>
      </c>
      <c r="Z428" s="33">
        <v>0.8</v>
      </c>
      <c r="AA428" s="29">
        <f t="shared" si="73"/>
        <v>203.08550437116278</v>
      </c>
      <c r="AB428" s="48">
        <f t="shared" si="74"/>
        <v>1607.3800922373414</v>
      </c>
      <c r="AC428" s="29">
        <v>205</v>
      </c>
      <c r="AD428" s="47">
        <f t="shared" si="75"/>
        <v>0.12753672948297923</v>
      </c>
    </row>
    <row r="429" spans="1:30" hidden="1" x14ac:dyDescent="0.2">
      <c r="A429" s="30" t="s">
        <v>8842</v>
      </c>
      <c r="B429" s="29">
        <v>3</v>
      </c>
      <c r="C429" s="29">
        <v>3</v>
      </c>
      <c r="D429" s="29">
        <v>216</v>
      </c>
      <c r="E429" s="29">
        <v>1054</v>
      </c>
      <c r="F429" s="29">
        <v>3733</v>
      </c>
      <c r="G429" s="29">
        <v>1152</v>
      </c>
      <c r="H429" s="29">
        <v>11396</v>
      </c>
      <c r="I429" s="29">
        <v>1270</v>
      </c>
      <c r="J429" s="29">
        <v>9891728</v>
      </c>
      <c r="K429" s="29">
        <v>2924</v>
      </c>
      <c r="L429" s="29">
        <v>5743</v>
      </c>
      <c r="N429" s="34"/>
      <c r="O429" s="29">
        <f t="shared" si="66"/>
        <v>4333.5</v>
      </c>
      <c r="P429" s="32" cm="1">
        <f t="array" ref="P429">WPNFACTOR(C429)</f>
        <v>2.5</v>
      </c>
      <c r="Q429" s="34" cm="1">
        <f t="array" ref="Q429">HPFACTOr(C429)</f>
        <v>4</v>
      </c>
      <c r="R429" s="33">
        <f t="shared" si="67"/>
        <v>1733.4</v>
      </c>
      <c r="S429" s="34">
        <f t="shared" si="68"/>
        <v>2472932</v>
      </c>
      <c r="T429" s="33">
        <f t="shared" si="69"/>
        <v>1733.4</v>
      </c>
      <c r="U429" s="42">
        <f t="shared" si="70"/>
        <v>2472932</v>
      </c>
      <c r="V429" s="44"/>
      <c r="W429" s="29">
        <f t="shared" si="65"/>
        <v>4286580328.8000002</v>
      </c>
      <c r="X429" s="41">
        <f t="shared" si="71"/>
        <v>31.997180033166742</v>
      </c>
      <c r="Y429" s="33">
        <f t="shared" si="72"/>
        <v>255.8749328285156</v>
      </c>
      <c r="Z429" s="33">
        <v>0.8</v>
      </c>
      <c r="AA429" s="29">
        <f t="shared" si="73"/>
        <v>204.69994626281249</v>
      </c>
      <c r="AB429" s="48">
        <f t="shared" si="74"/>
        <v>1624.4399273883021</v>
      </c>
      <c r="AC429" s="29">
        <v>206</v>
      </c>
      <c r="AD429" s="47">
        <f t="shared" si="75"/>
        <v>0.12681293812520178</v>
      </c>
    </row>
    <row r="430" spans="1:30" hidden="1" x14ac:dyDescent="0.2">
      <c r="A430" s="30" t="s">
        <v>8842</v>
      </c>
      <c r="B430" s="29">
        <v>4</v>
      </c>
      <c r="C430" s="29">
        <v>1</v>
      </c>
      <c r="D430" s="29">
        <v>218</v>
      </c>
      <c r="E430" s="29">
        <v>3639</v>
      </c>
      <c r="F430" s="29">
        <v>1018</v>
      </c>
      <c r="G430" s="29">
        <v>867</v>
      </c>
      <c r="H430" s="29">
        <v>14047</v>
      </c>
      <c r="I430" s="29">
        <v>1180</v>
      </c>
      <c r="J430" s="29">
        <v>15381465</v>
      </c>
      <c r="K430" s="29">
        <v>2340</v>
      </c>
      <c r="L430" s="29">
        <v>4669</v>
      </c>
      <c r="N430" s="34"/>
      <c r="O430" s="29">
        <f t="shared" si="66"/>
        <v>3504.5</v>
      </c>
      <c r="P430" s="32" cm="1">
        <f t="array" ref="P430">WPNFACTOR(C430)</f>
        <v>2</v>
      </c>
      <c r="Q430" s="34" cm="1">
        <f t="array" ref="Q430">HPFACTOr(C430)</f>
        <v>5</v>
      </c>
      <c r="R430" s="33">
        <f t="shared" si="67"/>
        <v>1752.25</v>
      </c>
      <c r="S430" s="34">
        <f t="shared" si="68"/>
        <v>3076293</v>
      </c>
      <c r="T430" s="33">
        <f t="shared" si="69"/>
        <v>1752.25</v>
      </c>
      <c r="U430" s="42">
        <f t="shared" si="70"/>
        <v>3076292.9999999995</v>
      </c>
      <c r="V430" s="44"/>
      <c r="W430" s="29">
        <f t="shared" si="65"/>
        <v>5390434409.249999</v>
      </c>
      <c r="X430" s="41">
        <f t="shared" si="71"/>
        <v>32.327754396874369</v>
      </c>
      <c r="Y430" s="33">
        <f t="shared" si="72"/>
        <v>270.96047282492026</v>
      </c>
      <c r="Z430" s="33">
        <v>0.8</v>
      </c>
      <c r="AA430" s="29">
        <f t="shared" si="73"/>
        <v>216.76837825993621</v>
      </c>
      <c r="AB430" s="48">
        <f t="shared" si="74"/>
        <v>1753.3741063098639</v>
      </c>
      <c r="AC430" s="29">
        <v>208</v>
      </c>
      <c r="AD430" s="47">
        <f t="shared" si="75"/>
        <v>0.11862842005677557</v>
      </c>
    </row>
    <row r="431" spans="1:30" hidden="1" x14ac:dyDescent="0.2">
      <c r="A431" s="30" t="s">
        <v>8842</v>
      </c>
      <c r="B431" s="29">
        <v>5</v>
      </c>
      <c r="C431" s="29">
        <v>1</v>
      </c>
      <c r="D431" s="29">
        <v>220</v>
      </c>
      <c r="E431" s="29">
        <v>3748</v>
      </c>
      <c r="F431" s="29">
        <v>1079</v>
      </c>
      <c r="G431" s="29">
        <v>977</v>
      </c>
      <c r="H431" s="29">
        <v>14338</v>
      </c>
      <c r="I431" s="29">
        <v>1059</v>
      </c>
      <c r="J431" s="29">
        <v>15843490</v>
      </c>
      <c r="K431" s="29">
        <v>2402</v>
      </c>
      <c r="L431" s="29">
        <v>4680</v>
      </c>
      <c r="N431" s="34"/>
      <c r="O431" s="29">
        <f t="shared" si="66"/>
        <v>3541</v>
      </c>
      <c r="P431" s="32" cm="1">
        <f t="array" ref="P431">WPNFACTOR(C431)</f>
        <v>2</v>
      </c>
      <c r="Q431" s="34" cm="1">
        <f t="array" ref="Q431">HPFACTOr(C431)</f>
        <v>5</v>
      </c>
      <c r="R431" s="33">
        <f t="shared" si="67"/>
        <v>1770.5</v>
      </c>
      <c r="S431" s="34">
        <f t="shared" si="68"/>
        <v>3168698</v>
      </c>
      <c r="T431" s="33">
        <f t="shared" si="69"/>
        <v>1770.5</v>
      </c>
      <c r="U431" s="42">
        <f t="shared" si="70"/>
        <v>3168698.0000000005</v>
      </c>
      <c r="V431" s="44"/>
      <c r="W431" s="29">
        <f t="shared" si="65"/>
        <v>5610179809.000001</v>
      </c>
      <c r="X431" s="41">
        <f t="shared" si="71"/>
        <v>32.385399864641272</v>
      </c>
      <c r="Y431" s="33">
        <f t="shared" si="72"/>
        <v>273.68071463450025</v>
      </c>
      <c r="Z431" s="33">
        <v>0.8</v>
      </c>
      <c r="AA431" s="29">
        <f t="shared" si="73"/>
        <v>218.9445717076002</v>
      </c>
      <c r="AB431" s="48">
        <f t="shared" si="74"/>
        <v>1776.8833870277792</v>
      </c>
      <c r="AC431" s="29">
        <v>209</v>
      </c>
      <c r="AD431" s="47">
        <f t="shared" si="75"/>
        <v>0.11762167485261799</v>
      </c>
    </row>
    <row r="432" spans="1:30" hidden="1" x14ac:dyDescent="0.2">
      <c r="A432" s="30" t="s">
        <v>8842</v>
      </c>
      <c r="B432" s="29">
        <v>6</v>
      </c>
      <c r="C432" s="29">
        <v>3</v>
      </c>
      <c r="D432" s="29">
        <v>222</v>
      </c>
      <c r="E432" s="29">
        <v>999</v>
      </c>
      <c r="F432" s="29">
        <v>3848</v>
      </c>
      <c r="G432" s="29">
        <v>962</v>
      </c>
      <c r="H432" s="29">
        <v>15466</v>
      </c>
      <c r="I432" s="29">
        <v>1387</v>
      </c>
      <c r="J432" s="29">
        <v>13795672</v>
      </c>
      <c r="K432" s="29">
        <v>2987</v>
      </c>
      <c r="L432" s="29">
        <v>5911</v>
      </c>
      <c r="N432" s="34"/>
      <c r="O432" s="29">
        <f t="shared" si="66"/>
        <v>4449</v>
      </c>
      <c r="P432" s="32" cm="1">
        <f t="array" ref="P432">WPNFACTOR(C432)</f>
        <v>2.5</v>
      </c>
      <c r="Q432" s="34" cm="1">
        <f t="array" ref="Q432">HPFACTOr(C432)</f>
        <v>4</v>
      </c>
      <c r="R432" s="33">
        <f t="shared" si="67"/>
        <v>1779.6</v>
      </c>
      <c r="S432" s="34">
        <f t="shared" si="68"/>
        <v>3448918</v>
      </c>
      <c r="T432" s="33">
        <f t="shared" si="69"/>
        <v>1779.6</v>
      </c>
      <c r="U432" s="42">
        <f t="shared" si="70"/>
        <v>3448918.0000000005</v>
      </c>
      <c r="V432" s="44"/>
      <c r="W432" s="29">
        <f t="shared" si="65"/>
        <v>6137694472.8000002</v>
      </c>
      <c r="X432" s="41">
        <f t="shared" si="71"/>
        <v>32.515049685918562</v>
      </c>
      <c r="Y432" s="33">
        <f t="shared" si="72"/>
        <v>279.89898042939501</v>
      </c>
      <c r="Z432" s="33">
        <v>0.8</v>
      </c>
      <c r="AA432" s="29">
        <f t="shared" si="73"/>
        <v>223.91918434351601</v>
      </c>
      <c r="AB432" s="48">
        <f t="shared" si="74"/>
        <v>1830.9160087914975</v>
      </c>
      <c r="AC432" s="29">
        <v>217</v>
      </c>
      <c r="AD432" s="47">
        <f t="shared" si="75"/>
        <v>0.11851990968347675</v>
      </c>
    </row>
    <row r="433" spans="1:30" hidden="1" x14ac:dyDescent="0.2">
      <c r="A433" s="30" t="s">
        <v>8842</v>
      </c>
      <c r="B433" s="29">
        <v>7</v>
      </c>
      <c r="C433" s="29">
        <v>1</v>
      </c>
      <c r="D433" s="29">
        <v>224</v>
      </c>
      <c r="E433" s="29">
        <v>3920</v>
      </c>
      <c r="F433" s="29">
        <v>1190</v>
      </c>
      <c r="G433" s="29">
        <v>1102</v>
      </c>
      <c r="H433" s="29">
        <v>16170</v>
      </c>
      <c r="I433" s="29">
        <v>1085</v>
      </c>
      <c r="J433" s="29">
        <v>18191250</v>
      </c>
      <c r="K433" s="29">
        <v>2403</v>
      </c>
      <c r="L433" s="29">
        <v>4785</v>
      </c>
      <c r="N433" s="34"/>
      <c r="O433" s="29">
        <f t="shared" si="66"/>
        <v>3594</v>
      </c>
      <c r="P433" s="32" cm="1">
        <f t="array" ref="P433">WPNFACTOR(C433)</f>
        <v>2</v>
      </c>
      <c r="Q433" s="34" cm="1">
        <f t="array" ref="Q433">HPFACTOr(C433)</f>
        <v>5</v>
      </c>
      <c r="R433" s="33">
        <f t="shared" si="67"/>
        <v>1797</v>
      </c>
      <c r="S433" s="34">
        <f t="shared" si="68"/>
        <v>3638250</v>
      </c>
      <c r="T433" s="33">
        <f t="shared" si="69"/>
        <v>1797</v>
      </c>
      <c r="U433" s="42">
        <f t="shared" si="70"/>
        <v>3638250</v>
      </c>
      <c r="V433" s="44"/>
      <c r="W433" s="29">
        <f t="shared" si="65"/>
        <v>6537935250</v>
      </c>
      <c r="X433" s="41">
        <f t="shared" si="71"/>
        <v>32.606187943088003</v>
      </c>
      <c r="Y433" s="33">
        <f t="shared" si="72"/>
        <v>284.35453161883294</v>
      </c>
      <c r="Z433" s="33">
        <v>0.8</v>
      </c>
      <c r="AA433" s="29">
        <f t="shared" si="73"/>
        <v>227.48362529506636</v>
      </c>
      <c r="AB433" s="48">
        <f t="shared" si="74"/>
        <v>1869.8791470602803</v>
      </c>
      <c r="AC433" s="29">
        <v>217</v>
      </c>
      <c r="AD433" s="47">
        <f t="shared" si="75"/>
        <v>0.1160502807580668</v>
      </c>
    </row>
    <row r="434" spans="1:30" hidden="1" x14ac:dyDescent="0.2">
      <c r="A434" s="30" t="s">
        <v>8842</v>
      </c>
      <c r="B434" s="29">
        <v>8</v>
      </c>
      <c r="C434" s="29">
        <v>3</v>
      </c>
      <c r="D434" s="29">
        <v>226</v>
      </c>
      <c r="E434" s="29">
        <v>1040</v>
      </c>
      <c r="F434" s="29">
        <v>4044</v>
      </c>
      <c r="G434" s="29">
        <v>1011</v>
      </c>
      <c r="H434" s="29">
        <v>17660</v>
      </c>
      <c r="I434" s="29">
        <v>1471</v>
      </c>
      <c r="J434" s="29">
        <v>16035280</v>
      </c>
      <c r="K434" s="29">
        <v>3048</v>
      </c>
      <c r="L434" s="29">
        <v>6051</v>
      </c>
      <c r="N434" s="34"/>
      <c r="O434" s="29">
        <f t="shared" si="66"/>
        <v>4549.5</v>
      </c>
      <c r="P434" s="32" cm="1">
        <f t="array" ref="P434">WPNFACTOR(C434)</f>
        <v>2.5</v>
      </c>
      <c r="Q434" s="34" cm="1">
        <f t="array" ref="Q434">HPFACTOr(C434)</f>
        <v>4</v>
      </c>
      <c r="R434" s="33">
        <f t="shared" si="67"/>
        <v>1819.8</v>
      </c>
      <c r="S434" s="34">
        <f t="shared" si="68"/>
        <v>4008820</v>
      </c>
      <c r="T434" s="33">
        <f t="shared" si="69"/>
        <v>1819.8</v>
      </c>
      <c r="U434" s="42">
        <f t="shared" si="70"/>
        <v>4008820</v>
      </c>
      <c r="V434" s="44"/>
      <c r="W434" s="29">
        <f t="shared" si="65"/>
        <v>7295250636</v>
      </c>
      <c r="X434" s="41">
        <f t="shared" si="71"/>
        <v>32.764310398284714</v>
      </c>
      <c r="Y434" s="33">
        <f t="shared" si="72"/>
        <v>292.25372432280113</v>
      </c>
      <c r="Z434" s="33">
        <v>0.8</v>
      </c>
      <c r="AA434" s="29">
        <f t="shared" si="73"/>
        <v>233.80297945824091</v>
      </c>
      <c r="AB434" s="48">
        <f t="shared" si="74"/>
        <v>1939.4566299819098</v>
      </c>
      <c r="AC434" s="29">
        <v>223</v>
      </c>
      <c r="AD434" s="47">
        <f t="shared" si="75"/>
        <v>0.11498065826925968</v>
      </c>
    </row>
    <row r="435" spans="1:30" hidden="1" x14ac:dyDescent="0.2">
      <c r="A435" s="30" t="s">
        <v>8842</v>
      </c>
      <c r="B435" s="29">
        <v>9</v>
      </c>
      <c r="C435" s="29">
        <v>1</v>
      </c>
      <c r="D435" s="29">
        <v>228</v>
      </c>
      <c r="E435" s="29">
        <v>4135</v>
      </c>
      <c r="F435" s="29">
        <v>1338</v>
      </c>
      <c r="G435" s="29">
        <v>1272</v>
      </c>
      <c r="H435" s="29">
        <v>18662</v>
      </c>
      <c r="I435" s="29">
        <v>1113</v>
      </c>
      <c r="J435" s="29">
        <v>21367990</v>
      </c>
      <c r="K435" s="29">
        <v>2447</v>
      </c>
      <c r="L435" s="29">
        <v>4864</v>
      </c>
      <c r="N435" s="34"/>
      <c r="O435" s="29">
        <f t="shared" si="66"/>
        <v>3655.5</v>
      </c>
      <c r="P435" s="32" cm="1">
        <f t="array" ref="P435">WPNFACTOR(C435)</f>
        <v>2</v>
      </c>
      <c r="Q435" s="34" cm="1">
        <f t="array" ref="Q435">HPFACTOr(C435)</f>
        <v>5</v>
      </c>
      <c r="R435" s="33">
        <f t="shared" si="67"/>
        <v>1827.75</v>
      </c>
      <c r="S435" s="34">
        <f t="shared" si="68"/>
        <v>4273598</v>
      </c>
      <c r="T435" s="33">
        <f t="shared" si="69"/>
        <v>1827.75</v>
      </c>
      <c r="U435" s="42">
        <f t="shared" si="70"/>
        <v>4273598</v>
      </c>
      <c r="V435" s="44"/>
      <c r="W435" s="29">
        <f t="shared" si="65"/>
        <v>7811068744.5</v>
      </c>
      <c r="X435" s="41">
        <f t="shared" si="71"/>
        <v>32.862872811688021</v>
      </c>
      <c r="Y435" s="33">
        <f t="shared" si="72"/>
        <v>297.28816134133319</v>
      </c>
      <c r="Z435" s="33">
        <v>0.8</v>
      </c>
      <c r="AA435" s="29">
        <f t="shared" si="73"/>
        <v>237.83052907306657</v>
      </c>
      <c r="AB435" s="48">
        <f t="shared" si="74"/>
        <v>1984.1301354806214</v>
      </c>
      <c r="AC435" s="29">
        <v>223</v>
      </c>
      <c r="AD435" s="47">
        <f t="shared" si="75"/>
        <v>0.11239182149006677</v>
      </c>
    </row>
    <row r="436" spans="1:30" hidden="1" x14ac:dyDescent="0.2">
      <c r="A436" s="30" t="s">
        <v>8842</v>
      </c>
      <c r="B436" s="29">
        <v>10</v>
      </c>
      <c r="C436" s="29">
        <v>1</v>
      </c>
      <c r="D436" s="29">
        <v>230</v>
      </c>
      <c r="E436" s="29">
        <v>4191</v>
      </c>
      <c r="F436" s="29">
        <v>1367</v>
      </c>
      <c r="G436" s="29">
        <v>1303</v>
      </c>
      <c r="H436" s="29">
        <v>19112</v>
      </c>
      <c r="I436" s="29">
        <v>1124</v>
      </c>
      <c r="J436" s="29">
        <v>22074360</v>
      </c>
      <c r="K436" s="29">
        <v>2470</v>
      </c>
      <c r="L436" s="29">
        <v>4911</v>
      </c>
      <c r="N436" s="34"/>
      <c r="O436" s="29">
        <f t="shared" si="66"/>
        <v>3690.5</v>
      </c>
      <c r="P436" s="32" cm="1">
        <f t="array" ref="P436">WPNFACTOR(C436)</f>
        <v>2</v>
      </c>
      <c r="Q436" s="34" cm="1">
        <f t="array" ref="Q436">HPFACTOr(C436)</f>
        <v>5</v>
      </c>
      <c r="R436" s="33">
        <f t="shared" si="67"/>
        <v>1845.25</v>
      </c>
      <c r="S436" s="34">
        <f t="shared" si="68"/>
        <v>4414872</v>
      </c>
      <c r="T436" s="33">
        <f t="shared" si="69"/>
        <v>1845.25</v>
      </c>
      <c r="U436" s="42">
        <f t="shared" si="70"/>
        <v>4414872</v>
      </c>
      <c r="V436" s="44"/>
      <c r="W436" s="29">
        <f t="shared" si="65"/>
        <v>8146542558</v>
      </c>
      <c r="X436" s="41">
        <f t="shared" si="71"/>
        <v>32.923540754709869</v>
      </c>
      <c r="Y436" s="33">
        <f t="shared" si="72"/>
        <v>300.43002412350069</v>
      </c>
      <c r="Z436" s="33">
        <v>0.8</v>
      </c>
      <c r="AA436" s="29">
        <f t="shared" si="73"/>
        <v>240.34401929880056</v>
      </c>
      <c r="AB436" s="48">
        <f t="shared" si="74"/>
        <v>2012.1380645006936</v>
      </c>
      <c r="AC436" s="29">
        <v>223</v>
      </c>
      <c r="AD436" s="47">
        <f t="shared" si="75"/>
        <v>0.11082738502605527</v>
      </c>
    </row>
    <row r="437" spans="1:30" hidden="1" x14ac:dyDescent="0.2">
      <c r="A437" s="30" t="s">
        <v>8843</v>
      </c>
      <c r="B437" s="29">
        <v>1</v>
      </c>
      <c r="C437" s="29">
        <v>3</v>
      </c>
      <c r="D437" s="29">
        <v>232</v>
      </c>
      <c r="E437" s="29">
        <v>1026</v>
      </c>
      <c r="F437" s="29">
        <v>3926</v>
      </c>
      <c r="G437" s="29">
        <v>981</v>
      </c>
      <c r="H437" s="29">
        <v>14746</v>
      </c>
      <c r="I437" s="29">
        <v>1405</v>
      </c>
      <c r="J437" s="29">
        <v>13743272</v>
      </c>
      <c r="K437" s="29">
        <v>3135</v>
      </c>
      <c r="L437" s="29">
        <v>6199</v>
      </c>
      <c r="N437" s="34"/>
      <c r="O437" s="29">
        <f t="shared" si="66"/>
        <v>4667</v>
      </c>
      <c r="P437" s="32" cm="1">
        <f t="array" ref="P437">WPNFACTOR(C437)</f>
        <v>2.5</v>
      </c>
      <c r="Q437" s="34" cm="1">
        <f t="array" ref="Q437">HPFACTOr(C437)</f>
        <v>4</v>
      </c>
      <c r="R437" s="33">
        <f t="shared" si="67"/>
        <v>1866.8</v>
      </c>
      <c r="S437" s="34">
        <f t="shared" si="68"/>
        <v>3435818</v>
      </c>
      <c r="T437" s="33">
        <f t="shared" si="69"/>
        <v>1866.8</v>
      </c>
      <c r="U437" s="42">
        <f t="shared" si="70"/>
        <v>3435818.0000000005</v>
      </c>
      <c r="V437" s="44"/>
      <c r="W437" s="29">
        <f t="shared" si="65"/>
        <v>6413985042.4000006</v>
      </c>
      <c r="X437" s="41">
        <f t="shared" si="71"/>
        <v>32.578573843362875</v>
      </c>
      <c r="Y437" s="33">
        <f t="shared" si="72"/>
        <v>282.99710036982896</v>
      </c>
      <c r="Z437" s="33">
        <v>0.8</v>
      </c>
      <c r="AA437" s="29">
        <f t="shared" si="73"/>
        <v>226.39768029586318</v>
      </c>
      <c r="AB437" s="48">
        <f t="shared" si="74"/>
        <v>1857.9868999506243</v>
      </c>
      <c r="AC437" s="29">
        <v>217</v>
      </c>
      <c r="AD437" s="47">
        <f t="shared" si="75"/>
        <v>0.11679307319430871</v>
      </c>
    </row>
    <row r="438" spans="1:30" hidden="1" x14ac:dyDescent="0.2">
      <c r="A438" s="30" t="s">
        <v>8843</v>
      </c>
      <c r="B438" s="29">
        <v>2</v>
      </c>
      <c r="C438" s="29">
        <v>3</v>
      </c>
      <c r="D438" s="29">
        <v>234</v>
      </c>
      <c r="E438" s="29">
        <v>1048</v>
      </c>
      <c r="F438" s="29">
        <v>4034</v>
      </c>
      <c r="G438" s="29">
        <v>1008</v>
      </c>
      <c r="H438" s="29">
        <v>15972</v>
      </c>
      <c r="I438" s="29">
        <v>1452</v>
      </c>
      <c r="J438" s="29">
        <v>15013680</v>
      </c>
      <c r="K438" s="29">
        <v>3138</v>
      </c>
      <c r="L438" s="29">
        <v>6252</v>
      </c>
      <c r="N438" s="34"/>
      <c r="O438" s="29">
        <f t="shared" si="66"/>
        <v>4695</v>
      </c>
      <c r="P438" s="32" cm="1">
        <f t="array" ref="P438">WPNFACTOR(C438)</f>
        <v>2.5</v>
      </c>
      <c r="Q438" s="34" cm="1">
        <f t="array" ref="Q438">HPFACTOr(C438)</f>
        <v>4</v>
      </c>
      <c r="R438" s="33">
        <f t="shared" si="67"/>
        <v>1878</v>
      </c>
      <c r="S438" s="34">
        <f t="shared" si="68"/>
        <v>3753420</v>
      </c>
      <c r="T438" s="33">
        <f t="shared" si="69"/>
        <v>1878</v>
      </c>
      <c r="U438" s="42">
        <f t="shared" si="70"/>
        <v>3753420</v>
      </c>
      <c r="V438" s="44"/>
      <c r="W438" s="29">
        <f t="shared" si="65"/>
        <v>7048922760</v>
      </c>
      <c r="X438" s="41">
        <f t="shared" si="71"/>
        <v>32.714755650851821</v>
      </c>
      <c r="Y438" s="33">
        <f t="shared" si="72"/>
        <v>289.75483257888601</v>
      </c>
      <c r="Z438" s="33">
        <v>0.8</v>
      </c>
      <c r="AA438" s="29">
        <f t="shared" si="73"/>
        <v>231.80386606310881</v>
      </c>
      <c r="AB438" s="48">
        <f t="shared" si="74"/>
        <v>1917.3773110075103</v>
      </c>
      <c r="AC438" s="29">
        <v>222</v>
      </c>
      <c r="AD438" s="47">
        <f t="shared" si="75"/>
        <v>0.11578315792385552</v>
      </c>
    </row>
    <row r="439" spans="1:30" hidden="1" x14ac:dyDescent="0.2">
      <c r="A439" s="30" t="s">
        <v>8843</v>
      </c>
      <c r="B439" s="29">
        <v>3</v>
      </c>
      <c r="C439" s="29">
        <v>1</v>
      </c>
      <c r="D439" s="29">
        <v>236</v>
      </c>
      <c r="E439" s="29">
        <v>4110</v>
      </c>
      <c r="F439" s="29">
        <v>1237</v>
      </c>
      <c r="G439" s="29">
        <v>1141</v>
      </c>
      <c r="H439" s="29">
        <v>16748</v>
      </c>
      <c r="I439" s="29">
        <v>1141</v>
      </c>
      <c r="J439" s="29">
        <v>19846380</v>
      </c>
      <c r="K439" s="29">
        <v>2528</v>
      </c>
      <c r="L439" s="29">
        <v>5046</v>
      </c>
      <c r="N439" s="34"/>
      <c r="O439" s="29">
        <f t="shared" si="66"/>
        <v>3787</v>
      </c>
      <c r="P439" s="32" cm="1">
        <f t="array" ref="P439">WPNFACTOR(C439)</f>
        <v>2</v>
      </c>
      <c r="Q439" s="34" cm="1">
        <f t="array" ref="Q439">HPFACTOr(C439)</f>
        <v>5</v>
      </c>
      <c r="R439" s="33">
        <f t="shared" si="67"/>
        <v>1893.5</v>
      </c>
      <c r="S439" s="34">
        <f t="shared" si="68"/>
        <v>3969276</v>
      </c>
      <c r="T439" s="33">
        <f t="shared" si="69"/>
        <v>1893.5</v>
      </c>
      <c r="U439" s="42">
        <f t="shared" si="70"/>
        <v>3969276</v>
      </c>
      <c r="V439" s="44"/>
      <c r="W439" s="29">
        <f t="shared" si="65"/>
        <v>7515824106</v>
      </c>
      <c r="X439" s="41">
        <f t="shared" si="71"/>
        <v>32.807284157522979</v>
      </c>
      <c r="Y439" s="33">
        <f t="shared" si="72"/>
        <v>294.43819853723335</v>
      </c>
      <c r="Z439" s="33">
        <v>0.8</v>
      </c>
      <c r="AA439" s="29">
        <f t="shared" si="73"/>
        <v>235.5505588297867</v>
      </c>
      <c r="AB439" s="48">
        <f t="shared" si="74"/>
        <v>1958.8095042065349</v>
      </c>
      <c r="AC439" s="29">
        <v>222</v>
      </c>
      <c r="AD439" s="47">
        <f t="shared" si="75"/>
        <v>0.11333414480747411</v>
      </c>
    </row>
    <row r="440" spans="1:30" hidden="1" x14ac:dyDescent="0.2">
      <c r="A440" s="30" t="s">
        <v>8843</v>
      </c>
      <c r="B440" s="29">
        <v>4</v>
      </c>
      <c r="C440" s="29">
        <v>1</v>
      </c>
      <c r="D440" s="29">
        <v>238</v>
      </c>
      <c r="E440" s="29">
        <v>4200</v>
      </c>
      <c r="F440" s="29">
        <v>1295</v>
      </c>
      <c r="G440" s="29">
        <v>1207</v>
      </c>
      <c r="H440" s="29">
        <v>17710</v>
      </c>
      <c r="I440" s="29">
        <v>1155</v>
      </c>
      <c r="J440" s="29">
        <v>21163450</v>
      </c>
      <c r="K440" s="29">
        <v>2559</v>
      </c>
      <c r="L440" s="29">
        <v>5078</v>
      </c>
      <c r="N440" s="34"/>
      <c r="O440" s="29">
        <f t="shared" si="66"/>
        <v>3818.5</v>
      </c>
      <c r="P440" s="32" cm="1">
        <f t="array" ref="P440">WPNFACTOR(C440)</f>
        <v>2</v>
      </c>
      <c r="Q440" s="34" cm="1">
        <f t="array" ref="Q440">HPFACTOr(C440)</f>
        <v>5</v>
      </c>
      <c r="R440" s="33">
        <f t="shared" si="67"/>
        <v>1909.25</v>
      </c>
      <c r="S440" s="34">
        <f t="shared" si="68"/>
        <v>4232690</v>
      </c>
      <c r="T440" s="33">
        <f t="shared" si="69"/>
        <v>1909.25</v>
      </c>
      <c r="U440" s="42">
        <f t="shared" si="70"/>
        <v>4232690</v>
      </c>
      <c r="V440" s="44"/>
      <c r="W440" s="29">
        <f t="shared" si="65"/>
        <v>8081263382.5</v>
      </c>
      <c r="X440" s="41">
        <f t="shared" si="71"/>
        <v>32.911933708001243</v>
      </c>
      <c r="Y440" s="33">
        <f t="shared" si="72"/>
        <v>299.82636210849972</v>
      </c>
      <c r="Z440" s="33">
        <v>0.8</v>
      </c>
      <c r="AA440" s="29">
        <f t="shared" si="73"/>
        <v>239.8610896867998</v>
      </c>
      <c r="AB440" s="48">
        <f t="shared" si="74"/>
        <v>2006.7491474269755</v>
      </c>
      <c r="AC440" s="29">
        <v>222</v>
      </c>
      <c r="AD440" s="47">
        <f t="shared" si="75"/>
        <v>0.11062668210655287</v>
      </c>
    </row>
    <row r="441" spans="1:30" hidden="1" x14ac:dyDescent="0.2">
      <c r="A441" s="30" t="s">
        <v>8843</v>
      </c>
      <c r="B441" s="29">
        <v>5</v>
      </c>
      <c r="C441" s="29">
        <v>1</v>
      </c>
      <c r="D441" s="29">
        <v>240</v>
      </c>
      <c r="E441" s="29">
        <v>4281</v>
      </c>
      <c r="F441" s="29">
        <v>1345</v>
      </c>
      <c r="G441" s="29">
        <v>1264</v>
      </c>
      <c r="H441" s="29">
        <v>18546</v>
      </c>
      <c r="I441" s="29">
        <v>1167</v>
      </c>
      <c r="J441" s="29">
        <v>22347930</v>
      </c>
      <c r="K441" s="29">
        <v>2706</v>
      </c>
      <c r="L441" s="29">
        <v>5100</v>
      </c>
      <c r="N441" s="34"/>
      <c r="O441" s="29">
        <f t="shared" si="66"/>
        <v>3903</v>
      </c>
      <c r="P441" s="32" cm="1">
        <f t="array" ref="P441">WPNFACTOR(C441)</f>
        <v>2</v>
      </c>
      <c r="Q441" s="34" cm="1">
        <f t="array" ref="Q441">HPFACTOr(C441)</f>
        <v>5</v>
      </c>
      <c r="R441" s="33">
        <f t="shared" si="67"/>
        <v>1951.5</v>
      </c>
      <c r="S441" s="34">
        <f t="shared" si="68"/>
        <v>4469586</v>
      </c>
      <c r="T441" s="33">
        <f t="shared" si="69"/>
        <v>1951.5</v>
      </c>
      <c r="U441" s="42">
        <f t="shared" si="70"/>
        <v>4469586</v>
      </c>
      <c r="V441" s="44"/>
      <c r="W441" s="29">
        <f t="shared" si="65"/>
        <v>8722397079</v>
      </c>
      <c r="X441" s="41">
        <f t="shared" si="71"/>
        <v>33.022077523248292</v>
      </c>
      <c r="Y441" s="33">
        <f t="shared" si="72"/>
        <v>305.60395008140392</v>
      </c>
      <c r="Z441" s="33">
        <v>0.8</v>
      </c>
      <c r="AA441" s="29">
        <f t="shared" si="73"/>
        <v>244.48316006512314</v>
      </c>
      <c r="AB441" s="48">
        <f t="shared" si="74"/>
        <v>2058.4735195176472</v>
      </c>
      <c r="AC441" s="29">
        <v>222</v>
      </c>
      <c r="AD441" s="47">
        <f t="shared" si="75"/>
        <v>0.10784690592085938</v>
      </c>
    </row>
    <row r="442" spans="1:30" hidden="1" x14ac:dyDescent="0.2">
      <c r="A442" s="30" t="s">
        <v>8843</v>
      </c>
      <c r="B442" s="29">
        <v>6</v>
      </c>
      <c r="C442" s="29">
        <v>3</v>
      </c>
      <c r="D442" s="29">
        <v>242</v>
      </c>
      <c r="E442" s="29">
        <v>1121</v>
      </c>
      <c r="F442" s="29">
        <v>4367</v>
      </c>
      <c r="G442" s="29">
        <v>1091</v>
      </c>
      <c r="H442" s="29">
        <v>19476</v>
      </c>
      <c r="I442" s="29">
        <v>1593</v>
      </c>
      <c r="J442" s="29">
        <v>18930672</v>
      </c>
      <c r="K442" s="29">
        <v>3244</v>
      </c>
      <c r="L442" s="29">
        <v>6474</v>
      </c>
      <c r="N442" s="34"/>
      <c r="O442" s="29">
        <f t="shared" si="66"/>
        <v>4859</v>
      </c>
      <c r="P442" s="32" cm="1">
        <f t="array" ref="P442">WPNFACTOR(C442)</f>
        <v>2.5</v>
      </c>
      <c r="Q442" s="34" cm="1">
        <f t="array" ref="Q442">HPFACTOr(C442)</f>
        <v>4</v>
      </c>
      <c r="R442" s="33">
        <f t="shared" si="67"/>
        <v>1943.6</v>
      </c>
      <c r="S442" s="34">
        <f t="shared" si="68"/>
        <v>4732668</v>
      </c>
      <c r="T442" s="33">
        <f t="shared" si="69"/>
        <v>1943.6</v>
      </c>
      <c r="U442" s="42">
        <f t="shared" si="70"/>
        <v>4732668</v>
      </c>
      <c r="V442" s="44"/>
      <c r="W442" s="29">
        <f t="shared" si="65"/>
        <v>9198413524.7999992</v>
      </c>
      <c r="X442" s="41">
        <f t="shared" si="71"/>
        <v>33.098737911104834</v>
      </c>
      <c r="Y442" s="33">
        <f t="shared" si="72"/>
        <v>309.69074903204017</v>
      </c>
      <c r="Z442" s="33">
        <v>0.8</v>
      </c>
      <c r="AA442" s="29">
        <f t="shared" si="73"/>
        <v>247.75259922563214</v>
      </c>
      <c r="AB442" s="48">
        <f t="shared" si="74"/>
        <v>2095.2586549633206</v>
      </c>
      <c r="AC442" s="29">
        <v>229</v>
      </c>
      <c r="AD442" s="47">
        <f t="shared" si="75"/>
        <v>0.10929438208382385</v>
      </c>
    </row>
    <row r="443" spans="1:30" hidden="1" x14ac:dyDescent="0.2">
      <c r="A443" s="30" t="s">
        <v>8843</v>
      </c>
      <c r="B443" s="29">
        <v>7</v>
      </c>
      <c r="C443" s="29">
        <v>1</v>
      </c>
      <c r="D443" s="29">
        <v>244</v>
      </c>
      <c r="E443" s="29">
        <v>4415</v>
      </c>
      <c r="F443" s="29">
        <v>1423</v>
      </c>
      <c r="G443" s="29">
        <v>1350</v>
      </c>
      <c r="H443" s="29">
        <v>19806</v>
      </c>
      <c r="I443" s="29">
        <v>1190</v>
      </c>
      <c r="J443" s="29">
        <v>24262350</v>
      </c>
      <c r="K443" s="29">
        <v>2613</v>
      </c>
      <c r="L443" s="29">
        <v>5210</v>
      </c>
      <c r="N443" s="34"/>
      <c r="O443" s="29">
        <f t="shared" si="66"/>
        <v>3911.5</v>
      </c>
      <c r="P443" s="32" cm="1">
        <f t="array" ref="P443">WPNFACTOR(C443)</f>
        <v>2</v>
      </c>
      <c r="Q443" s="34" cm="1">
        <f t="array" ref="Q443">HPFACTOr(C443)</f>
        <v>5</v>
      </c>
      <c r="R443" s="33">
        <f t="shared" si="67"/>
        <v>1955.75</v>
      </c>
      <c r="S443" s="34">
        <f t="shared" si="68"/>
        <v>4852470</v>
      </c>
      <c r="T443" s="33">
        <f t="shared" si="69"/>
        <v>1955.75</v>
      </c>
      <c r="U443" s="42">
        <f t="shared" si="70"/>
        <v>4852470</v>
      </c>
      <c r="V443" s="44"/>
      <c r="W443" s="29">
        <f t="shared" si="65"/>
        <v>9490218202.5</v>
      </c>
      <c r="X443" s="41">
        <f t="shared" si="71"/>
        <v>33.143794112575705</v>
      </c>
      <c r="Y443" s="33">
        <f t="shared" si="72"/>
        <v>312.11816826649095</v>
      </c>
      <c r="Z443" s="33">
        <v>0.8</v>
      </c>
      <c r="AA443" s="29">
        <f t="shared" si="73"/>
        <v>249.69453461319279</v>
      </c>
      <c r="AB443" s="48">
        <f t="shared" si="74"/>
        <v>2117.1846307643928</v>
      </c>
      <c r="AC443" s="29">
        <v>229</v>
      </c>
      <c r="AD443" s="47">
        <f t="shared" si="75"/>
        <v>0.10816250820662786</v>
      </c>
    </row>
    <row r="444" spans="1:30" hidden="1" x14ac:dyDescent="0.2">
      <c r="A444" s="30" t="s">
        <v>8843</v>
      </c>
      <c r="B444" s="29">
        <v>8</v>
      </c>
      <c r="C444" s="29">
        <v>1</v>
      </c>
      <c r="D444" s="29">
        <v>246</v>
      </c>
      <c r="E444" s="29">
        <v>4510</v>
      </c>
      <c r="F444" s="29">
        <v>1486</v>
      </c>
      <c r="G444" s="29">
        <v>1422</v>
      </c>
      <c r="H444" s="29">
        <v>20856</v>
      </c>
      <c r="I444" s="29">
        <v>1204</v>
      </c>
      <c r="J444" s="29">
        <v>25757160</v>
      </c>
      <c r="K444" s="29">
        <v>2641</v>
      </c>
      <c r="L444" s="29">
        <v>5263</v>
      </c>
      <c r="N444" s="34"/>
      <c r="O444" s="29">
        <f t="shared" si="66"/>
        <v>3952</v>
      </c>
      <c r="P444" s="32" cm="1">
        <f t="array" ref="P444">WPNFACTOR(C444)</f>
        <v>2</v>
      </c>
      <c r="Q444" s="34" cm="1">
        <f t="array" ref="Q444">HPFACTOr(C444)</f>
        <v>5</v>
      </c>
      <c r="R444" s="33">
        <f t="shared" si="67"/>
        <v>1976</v>
      </c>
      <c r="S444" s="34">
        <f t="shared" si="68"/>
        <v>5151432</v>
      </c>
      <c r="T444" s="33">
        <f t="shared" si="69"/>
        <v>1976</v>
      </c>
      <c r="U444" s="42">
        <f t="shared" si="70"/>
        <v>5151432</v>
      </c>
      <c r="V444" s="44"/>
      <c r="W444" s="29">
        <f t="shared" si="65"/>
        <v>10179229632</v>
      </c>
      <c r="X444" s="41">
        <f t="shared" si="71"/>
        <v>33.244909330704914</v>
      </c>
      <c r="Y444" s="33">
        <f t="shared" si="72"/>
        <v>317.6352756516203</v>
      </c>
      <c r="Z444" s="33">
        <v>0.8</v>
      </c>
      <c r="AA444" s="29">
        <f t="shared" si="73"/>
        <v>254.10822052129626</v>
      </c>
      <c r="AB444" s="48">
        <f t="shared" si="74"/>
        <v>2167.2298340513757</v>
      </c>
      <c r="AC444" s="29">
        <v>230</v>
      </c>
      <c r="AD444" s="47">
        <f t="shared" si="75"/>
        <v>0.10612626145425594</v>
      </c>
    </row>
    <row r="445" spans="1:30" hidden="1" x14ac:dyDescent="0.2">
      <c r="A445" s="30" t="s">
        <v>8843</v>
      </c>
      <c r="B445" s="29">
        <v>9</v>
      </c>
      <c r="C445" s="29">
        <v>3</v>
      </c>
      <c r="D445" s="29">
        <v>248</v>
      </c>
      <c r="E445" s="29">
        <v>1167</v>
      </c>
      <c r="F445" s="29">
        <v>4570</v>
      </c>
      <c r="G445" s="29">
        <v>1142</v>
      </c>
      <c r="H445" s="29">
        <v>21395</v>
      </c>
      <c r="I445" s="29">
        <v>1677</v>
      </c>
      <c r="J445" s="29">
        <v>21309420</v>
      </c>
      <c r="K445" s="29">
        <v>3320</v>
      </c>
      <c r="L445" s="29">
        <v>6639</v>
      </c>
      <c r="N445" s="34"/>
      <c r="O445" s="29">
        <f t="shared" si="66"/>
        <v>4979.5</v>
      </c>
      <c r="P445" s="32" cm="1">
        <f t="array" ref="P445">WPNFACTOR(C445)</f>
        <v>2.5</v>
      </c>
      <c r="Q445" s="34" cm="1">
        <f t="array" ref="Q445">HPFACTOr(C445)</f>
        <v>4</v>
      </c>
      <c r="R445" s="33">
        <f t="shared" si="67"/>
        <v>1991.8</v>
      </c>
      <c r="S445" s="34">
        <f t="shared" si="68"/>
        <v>5327355</v>
      </c>
      <c r="T445" s="33">
        <f t="shared" si="69"/>
        <v>1991.8</v>
      </c>
      <c r="U445" s="42">
        <f t="shared" si="70"/>
        <v>5327355</v>
      </c>
      <c r="V445" s="44"/>
      <c r="W445" s="29">
        <f t="shared" si="65"/>
        <v>10611025689</v>
      </c>
      <c r="X445" s="41">
        <f t="shared" si="71"/>
        <v>33.304845066475309</v>
      </c>
      <c r="Y445" s="33">
        <f t="shared" si="72"/>
        <v>320.95144955645776</v>
      </c>
      <c r="Z445" s="33">
        <v>0.8</v>
      </c>
      <c r="AA445" s="29">
        <f t="shared" si="73"/>
        <v>256.76115964516623</v>
      </c>
      <c r="AB445" s="48">
        <f t="shared" si="74"/>
        <v>2197.4506067141251</v>
      </c>
      <c r="AC445" s="29">
        <v>234</v>
      </c>
      <c r="AD445" s="47">
        <f t="shared" si="75"/>
        <v>0.10648703515111226</v>
      </c>
    </row>
    <row r="446" spans="1:30" hidden="1" x14ac:dyDescent="0.2">
      <c r="A446" s="30" t="s">
        <v>8843</v>
      </c>
      <c r="B446" s="29">
        <v>10</v>
      </c>
      <c r="C446" s="29">
        <v>3</v>
      </c>
      <c r="D446" s="29">
        <v>250</v>
      </c>
      <c r="E446" s="29">
        <v>1181</v>
      </c>
      <c r="F446" s="29">
        <v>4636</v>
      </c>
      <c r="G446" s="29">
        <v>1159</v>
      </c>
      <c r="H446" s="29">
        <v>22000</v>
      </c>
      <c r="I446" s="29">
        <v>1704</v>
      </c>
      <c r="J446" s="29">
        <v>22088000</v>
      </c>
      <c r="K446" s="29">
        <v>3418</v>
      </c>
      <c r="L446" s="29">
        <v>6623</v>
      </c>
      <c r="N446" s="34"/>
      <c r="O446" s="29">
        <f t="shared" si="66"/>
        <v>5020.5</v>
      </c>
      <c r="P446" s="32" cm="1">
        <f t="array" ref="P446">WPNFACTOR(C446)</f>
        <v>2.5</v>
      </c>
      <c r="Q446" s="34" cm="1">
        <f t="array" ref="Q446">HPFACTOr(C446)</f>
        <v>4</v>
      </c>
      <c r="R446" s="33">
        <f t="shared" si="67"/>
        <v>2008.2</v>
      </c>
      <c r="S446" s="34">
        <f t="shared" si="68"/>
        <v>5522000</v>
      </c>
      <c r="T446" s="33">
        <f t="shared" si="69"/>
        <v>2008.2</v>
      </c>
      <c r="U446" s="42">
        <f t="shared" si="70"/>
        <v>5522000</v>
      </c>
      <c r="V446" s="44"/>
      <c r="W446" s="29">
        <f t="shared" si="65"/>
        <v>11089280400</v>
      </c>
      <c r="X446" s="41">
        <f t="shared" si="71"/>
        <v>33.368446698770477</v>
      </c>
      <c r="Y446" s="33">
        <f t="shared" si="72"/>
        <v>324.50832388392092</v>
      </c>
      <c r="Z446" s="33">
        <v>0.8</v>
      </c>
      <c r="AA446" s="29">
        <f t="shared" si="73"/>
        <v>259.60665910713675</v>
      </c>
      <c r="AB446" s="48">
        <f t="shared" si="74"/>
        <v>2229.9807890453576</v>
      </c>
      <c r="AC446" s="29">
        <v>235</v>
      </c>
      <c r="AD446" s="47">
        <f t="shared" si="75"/>
        <v>0.10538207376243909</v>
      </c>
    </row>
    <row r="447" spans="1:30" hidden="1" x14ac:dyDescent="0.2">
      <c r="A447" s="30" t="s">
        <v>8844</v>
      </c>
      <c r="B447" s="29">
        <v>1</v>
      </c>
      <c r="C447" s="29">
        <v>3</v>
      </c>
      <c r="D447" s="29">
        <v>252</v>
      </c>
      <c r="E447" s="29">
        <v>1155</v>
      </c>
      <c r="F447" s="29">
        <v>4480</v>
      </c>
      <c r="G447" s="29">
        <v>1120</v>
      </c>
      <c r="H447" s="29">
        <v>19250</v>
      </c>
      <c r="I447" s="29">
        <v>1627</v>
      </c>
      <c r="J447" s="29">
        <v>19481000</v>
      </c>
      <c r="K447" s="29">
        <v>3422</v>
      </c>
      <c r="L447" s="29">
        <v>6653</v>
      </c>
      <c r="N447" s="34"/>
      <c r="O447" s="29">
        <f t="shared" si="66"/>
        <v>5037.5</v>
      </c>
      <c r="P447" s="32" cm="1">
        <f t="array" ref="P447">WPNFACTOR(C447)</f>
        <v>2.5</v>
      </c>
      <c r="Q447" s="34" cm="1">
        <f t="array" ref="Q447">HPFACTOr(C447)</f>
        <v>4</v>
      </c>
      <c r="R447" s="33">
        <f t="shared" si="67"/>
        <v>2015</v>
      </c>
      <c r="S447" s="34">
        <f t="shared" si="68"/>
        <v>4870250</v>
      </c>
      <c r="T447" s="33">
        <f t="shared" si="69"/>
        <v>2015</v>
      </c>
      <c r="U447" s="42">
        <f t="shared" si="70"/>
        <v>4870250</v>
      </c>
      <c r="V447" s="44"/>
      <c r="W447" s="29">
        <f t="shared" si="65"/>
        <v>9813553750</v>
      </c>
      <c r="X447" s="41">
        <f t="shared" si="71"/>
        <v>33.192128523466629</v>
      </c>
      <c r="Y447" s="33">
        <f t="shared" si="72"/>
        <v>314.74335972055513</v>
      </c>
      <c r="Z447" s="33">
        <v>0.8</v>
      </c>
      <c r="AA447" s="29">
        <f t="shared" si="73"/>
        <v>251.79468777644411</v>
      </c>
      <c r="AB447" s="48">
        <f t="shared" si="74"/>
        <v>2140.9610605991588</v>
      </c>
      <c r="AC447" s="29">
        <v>230</v>
      </c>
      <c r="AD447" s="47">
        <f t="shared" si="75"/>
        <v>0.10742839009675091</v>
      </c>
    </row>
    <row r="448" spans="1:30" hidden="1" x14ac:dyDescent="0.2">
      <c r="A448" s="30" t="s">
        <v>8844</v>
      </c>
      <c r="B448" s="29">
        <v>2</v>
      </c>
      <c r="C448" s="29">
        <v>3</v>
      </c>
      <c r="D448" s="29">
        <v>254</v>
      </c>
      <c r="E448" s="29">
        <v>1172</v>
      </c>
      <c r="F448" s="29">
        <v>4558</v>
      </c>
      <c r="G448" s="29">
        <v>1139</v>
      </c>
      <c r="H448" s="29">
        <v>20058</v>
      </c>
      <c r="I448" s="29">
        <v>1660</v>
      </c>
      <c r="J448" s="29">
        <v>20459160</v>
      </c>
      <c r="K448" s="29">
        <v>3429</v>
      </c>
      <c r="L448" s="29">
        <v>6773</v>
      </c>
      <c r="N448" s="34"/>
      <c r="O448" s="29">
        <f t="shared" si="66"/>
        <v>5101</v>
      </c>
      <c r="P448" s="32" cm="1">
        <f t="array" ref="P448">WPNFACTOR(C448)</f>
        <v>2.5</v>
      </c>
      <c r="Q448" s="34" cm="1">
        <f t="array" ref="Q448">HPFACTOr(C448)</f>
        <v>4</v>
      </c>
      <c r="R448" s="33">
        <f t="shared" si="67"/>
        <v>2040.4</v>
      </c>
      <c r="S448" s="34">
        <f t="shared" si="68"/>
        <v>5114790</v>
      </c>
      <c r="T448" s="33">
        <f t="shared" si="69"/>
        <v>2040.4</v>
      </c>
      <c r="U448" s="42">
        <f t="shared" si="70"/>
        <v>5114790</v>
      </c>
      <c r="V448" s="44"/>
      <c r="W448" s="29">
        <f t="shared" si="65"/>
        <v>10436217516</v>
      </c>
      <c r="X448" s="41">
        <f t="shared" si="71"/>
        <v>33.280879867707</v>
      </c>
      <c r="Y448" s="33">
        <f t="shared" si="72"/>
        <v>319.62134929685647</v>
      </c>
      <c r="Z448" s="33">
        <v>0.8</v>
      </c>
      <c r="AA448" s="29">
        <f t="shared" si="73"/>
        <v>255.69707943748517</v>
      </c>
      <c r="AB448" s="48">
        <f t="shared" si="74"/>
        <v>2185.3166471157492</v>
      </c>
      <c r="AC448" s="29">
        <v>231</v>
      </c>
      <c r="AD448" s="47">
        <f t="shared" si="75"/>
        <v>0.10570550510603632</v>
      </c>
    </row>
    <row r="449" spans="1:30" hidden="1" x14ac:dyDescent="0.2">
      <c r="A449" s="30" t="s">
        <v>8844</v>
      </c>
      <c r="B449" s="29">
        <v>3</v>
      </c>
      <c r="C449" s="29">
        <v>3</v>
      </c>
      <c r="D449" s="29">
        <v>256</v>
      </c>
      <c r="E449" s="29">
        <v>1184</v>
      </c>
      <c r="F449" s="29">
        <v>4608</v>
      </c>
      <c r="G449" s="29">
        <v>1152</v>
      </c>
      <c r="H449" s="29">
        <v>20416</v>
      </c>
      <c r="I449" s="29">
        <v>1680</v>
      </c>
      <c r="J449" s="29">
        <v>20987648</v>
      </c>
      <c r="K449" s="29">
        <v>3476</v>
      </c>
      <c r="L449" s="29">
        <v>6810</v>
      </c>
      <c r="N449" s="34"/>
      <c r="O449" s="29">
        <f t="shared" si="66"/>
        <v>5143</v>
      </c>
      <c r="P449" s="32" cm="1">
        <f t="array" ref="P449">WPNFACTOR(C449)</f>
        <v>2.5</v>
      </c>
      <c r="Q449" s="34" cm="1">
        <f t="array" ref="Q449">HPFACTOr(C449)</f>
        <v>4</v>
      </c>
      <c r="R449" s="33">
        <f t="shared" si="67"/>
        <v>2057.1999999999998</v>
      </c>
      <c r="S449" s="34">
        <f t="shared" si="68"/>
        <v>5246912</v>
      </c>
      <c r="T449" s="33">
        <f t="shared" si="69"/>
        <v>2057.1999999999998</v>
      </c>
      <c r="U449" s="42">
        <f t="shared" si="70"/>
        <v>5246912</v>
      </c>
      <c r="V449" s="44"/>
      <c r="W449" s="29">
        <f t="shared" si="65"/>
        <v>10793947366.4</v>
      </c>
      <c r="X449" s="41">
        <f t="shared" si="71"/>
        <v>33.329503506423848</v>
      </c>
      <c r="Y449" s="33">
        <f t="shared" si="72"/>
        <v>322.32580353731436</v>
      </c>
      <c r="Z449" s="33">
        <v>0.8</v>
      </c>
      <c r="AA449" s="29">
        <f t="shared" si="73"/>
        <v>257.86064282985149</v>
      </c>
      <c r="AB449" s="48">
        <f t="shared" si="74"/>
        <v>2210.0058943762847</v>
      </c>
      <c r="AC449" s="29">
        <v>231</v>
      </c>
      <c r="AD449" s="47">
        <f t="shared" si="75"/>
        <v>0.10452460809621215</v>
      </c>
    </row>
    <row r="450" spans="1:30" hidden="1" x14ac:dyDescent="0.2">
      <c r="A450" s="30" t="s">
        <v>8844</v>
      </c>
      <c r="B450" s="29">
        <v>4</v>
      </c>
      <c r="C450" s="29">
        <v>3</v>
      </c>
      <c r="D450" s="29">
        <v>258</v>
      </c>
      <c r="E450" s="29">
        <v>1202</v>
      </c>
      <c r="F450" s="29">
        <v>4690</v>
      </c>
      <c r="G450" s="29">
        <v>1172</v>
      </c>
      <c r="H450" s="29">
        <v>21285</v>
      </c>
      <c r="I450" s="29">
        <v>1715</v>
      </c>
      <c r="J450" s="29">
        <v>22051260</v>
      </c>
      <c r="K450" s="29">
        <v>3641</v>
      </c>
      <c r="L450" s="29">
        <v>6896</v>
      </c>
      <c r="N450" s="34"/>
      <c r="O450" s="29">
        <f t="shared" si="66"/>
        <v>5268.5</v>
      </c>
      <c r="P450" s="32" cm="1">
        <f t="array" ref="P450">WPNFACTOR(C450)</f>
        <v>2.5</v>
      </c>
      <c r="Q450" s="34" cm="1">
        <f t="array" ref="Q450">HPFACTOr(C450)</f>
        <v>4</v>
      </c>
      <c r="R450" s="33">
        <f t="shared" si="67"/>
        <v>2107.4</v>
      </c>
      <c r="S450" s="34">
        <f t="shared" si="68"/>
        <v>5512815</v>
      </c>
      <c r="T450" s="33">
        <f t="shared" si="69"/>
        <v>2107.4</v>
      </c>
      <c r="U450" s="42">
        <f t="shared" si="70"/>
        <v>5512815</v>
      </c>
      <c r="V450" s="44"/>
      <c r="W450" s="29">
        <f t="shared" si="65"/>
        <v>11617706331</v>
      </c>
      <c r="X450" s="41">
        <f t="shared" si="71"/>
        <v>33.435606216280227</v>
      </c>
      <c r="Y450" s="33">
        <f t="shared" si="72"/>
        <v>328.30696668995603</v>
      </c>
      <c r="Z450" s="33">
        <v>0.8</v>
      </c>
      <c r="AA450" s="29">
        <f t="shared" si="73"/>
        <v>262.64557335196486</v>
      </c>
      <c r="AB450" s="48">
        <f t="shared" si="74"/>
        <v>2264.85358409131</v>
      </c>
      <c r="AC450" s="29">
        <v>235</v>
      </c>
      <c r="AD450" s="47">
        <f t="shared" si="75"/>
        <v>0.10375946668282542</v>
      </c>
    </row>
    <row r="451" spans="1:30" hidden="1" x14ac:dyDescent="0.2">
      <c r="A451" s="30" t="s">
        <v>8844</v>
      </c>
      <c r="B451" s="29">
        <v>5</v>
      </c>
      <c r="C451" s="29">
        <v>1</v>
      </c>
      <c r="D451" s="29">
        <v>260</v>
      </c>
      <c r="E451" s="29">
        <v>4757</v>
      </c>
      <c r="F451" s="29">
        <v>1562</v>
      </c>
      <c r="G451" s="29">
        <v>1493</v>
      </c>
      <c r="H451" s="29">
        <v>21901</v>
      </c>
      <c r="I451" s="29">
        <v>1272</v>
      </c>
      <c r="J451" s="29">
        <v>28580804</v>
      </c>
      <c r="K451" s="29">
        <v>2786</v>
      </c>
      <c r="L451" s="29">
        <v>5562</v>
      </c>
      <c r="N451" s="34"/>
      <c r="O451" s="29">
        <f t="shared" si="66"/>
        <v>4174</v>
      </c>
      <c r="P451" s="32" cm="1">
        <f t="array" ref="P451">WPNFACTOR(C451)</f>
        <v>2</v>
      </c>
      <c r="Q451" s="34" cm="1">
        <f t="array" ref="Q451">HPFACTOr(C451)</f>
        <v>5</v>
      </c>
      <c r="R451" s="33">
        <f t="shared" si="67"/>
        <v>2087</v>
      </c>
      <c r="S451" s="34">
        <f t="shared" si="68"/>
        <v>5716160.7999999998</v>
      </c>
      <c r="T451" s="33">
        <f t="shared" si="69"/>
        <v>2087</v>
      </c>
      <c r="U451" s="42">
        <f t="shared" si="70"/>
        <v>5716160.7999999989</v>
      </c>
      <c r="V451" s="44"/>
      <c r="W451" s="29">
        <f t="shared" si="65"/>
        <v>11929627589.599998</v>
      </c>
      <c r="X451" s="41">
        <f t="shared" si="71"/>
        <v>33.473829955609759</v>
      </c>
      <c r="Y451" s="33">
        <f t="shared" si="72"/>
        <v>330.48878129412606</v>
      </c>
      <c r="Z451" s="33">
        <v>0.8</v>
      </c>
      <c r="AA451" s="29">
        <f t="shared" si="73"/>
        <v>264.39102503530086</v>
      </c>
      <c r="AB451" s="48">
        <f t="shared" si="74"/>
        <v>2284.9443581009532</v>
      </c>
      <c r="AC451" s="29">
        <v>235</v>
      </c>
      <c r="AD451" s="47">
        <f t="shared" si="75"/>
        <v>0.10284714337434087</v>
      </c>
    </row>
    <row r="452" spans="1:30" hidden="1" x14ac:dyDescent="0.2">
      <c r="A452" s="30" t="s">
        <v>8844</v>
      </c>
      <c r="B452" s="29">
        <v>6</v>
      </c>
      <c r="C452" s="29">
        <v>3</v>
      </c>
      <c r="D452" s="29">
        <v>262</v>
      </c>
      <c r="E452" s="29">
        <v>1231</v>
      </c>
      <c r="F452" s="29">
        <v>4820</v>
      </c>
      <c r="G452" s="29">
        <v>1205</v>
      </c>
      <c r="H452" s="29">
        <v>22478</v>
      </c>
      <c r="I452" s="29">
        <v>1768</v>
      </c>
      <c r="J452" s="29">
        <v>23646856</v>
      </c>
      <c r="K452" s="29">
        <v>3508</v>
      </c>
      <c r="L452" s="29">
        <v>6997</v>
      </c>
      <c r="N452" s="34"/>
      <c r="O452" s="29">
        <f t="shared" si="66"/>
        <v>5252.5</v>
      </c>
      <c r="P452" s="32" cm="1">
        <f t="array" ref="P452">WPNFACTOR(C452)</f>
        <v>2.5</v>
      </c>
      <c r="Q452" s="34" cm="1">
        <f t="array" ref="Q452">HPFACTOr(C452)</f>
        <v>4</v>
      </c>
      <c r="R452" s="33">
        <f t="shared" si="67"/>
        <v>2101</v>
      </c>
      <c r="S452" s="34">
        <f t="shared" si="68"/>
        <v>5911714</v>
      </c>
      <c r="T452" s="33">
        <f t="shared" si="69"/>
        <v>2101</v>
      </c>
      <c r="U452" s="42">
        <f t="shared" si="70"/>
        <v>5911714</v>
      </c>
      <c r="V452" s="44"/>
      <c r="W452" s="29">
        <f t="shared" si="65"/>
        <v>12420511114</v>
      </c>
      <c r="X452" s="41">
        <f t="shared" si="71"/>
        <v>33.53200549171229</v>
      </c>
      <c r="Y452" s="33">
        <f t="shared" si="72"/>
        <v>333.83730591938235</v>
      </c>
      <c r="Z452" s="33">
        <v>0.8</v>
      </c>
      <c r="AA452" s="29">
        <f t="shared" si="73"/>
        <v>267.06984473550591</v>
      </c>
      <c r="AB452" s="48">
        <f t="shared" si="74"/>
        <v>2315.8645558059052</v>
      </c>
      <c r="AC452" s="29">
        <v>240</v>
      </c>
      <c r="AD452" s="47">
        <f t="shared" si="75"/>
        <v>0.10363300366522585</v>
      </c>
    </row>
    <row r="453" spans="1:30" hidden="1" x14ac:dyDescent="0.2">
      <c r="A453" s="30" t="s">
        <v>8844</v>
      </c>
      <c r="B453" s="29">
        <v>7</v>
      </c>
      <c r="C453" s="29">
        <v>1</v>
      </c>
      <c r="D453" s="29">
        <v>264</v>
      </c>
      <c r="E453" s="29">
        <v>4888</v>
      </c>
      <c r="F453" s="29">
        <v>1637</v>
      </c>
      <c r="G453" s="29">
        <v>1576</v>
      </c>
      <c r="H453" s="29">
        <v>23122</v>
      </c>
      <c r="I453" s="29">
        <v>1295</v>
      </c>
      <c r="J453" s="29">
        <v>30636650</v>
      </c>
      <c r="K453" s="29">
        <v>2874</v>
      </c>
      <c r="L453" s="29">
        <v>5627</v>
      </c>
      <c r="N453" s="34"/>
      <c r="O453" s="29">
        <f t="shared" si="66"/>
        <v>4250.5</v>
      </c>
      <c r="P453" s="32" cm="1">
        <f t="array" ref="P453">WPNFACTOR(C453)</f>
        <v>2</v>
      </c>
      <c r="Q453" s="34" cm="1">
        <f t="array" ref="Q453">HPFACTOr(C453)</f>
        <v>5</v>
      </c>
      <c r="R453" s="33">
        <f t="shared" si="67"/>
        <v>2125.25</v>
      </c>
      <c r="S453" s="34">
        <f t="shared" si="68"/>
        <v>6127330</v>
      </c>
      <c r="T453" s="33">
        <f t="shared" si="69"/>
        <v>2125.25</v>
      </c>
      <c r="U453" s="42">
        <f t="shared" si="70"/>
        <v>6127330</v>
      </c>
      <c r="V453" s="44"/>
      <c r="W453" s="29">
        <f t="shared" si="65"/>
        <v>13022108082.5</v>
      </c>
      <c r="X453" s="41">
        <f t="shared" si="71"/>
        <v>33.60024396680754</v>
      </c>
      <c r="Y453" s="33">
        <f t="shared" si="72"/>
        <v>337.80830611634747</v>
      </c>
      <c r="Z453" s="33">
        <v>0.8</v>
      </c>
      <c r="AA453" s="29">
        <f t="shared" si="73"/>
        <v>270.24664489307798</v>
      </c>
      <c r="AB453" s="48">
        <f t="shared" si="74"/>
        <v>2352.6668431305065</v>
      </c>
      <c r="AC453" s="29">
        <v>240</v>
      </c>
      <c r="AD453" s="47">
        <f t="shared" si="75"/>
        <v>0.1020118937370032</v>
      </c>
    </row>
    <row r="454" spans="1:30" hidden="1" x14ac:dyDescent="0.2">
      <c r="A454" s="30" t="s">
        <v>8844</v>
      </c>
      <c r="B454" s="29">
        <v>8</v>
      </c>
      <c r="C454" s="29">
        <v>2</v>
      </c>
      <c r="D454" s="29">
        <v>266</v>
      </c>
      <c r="E454" s="29">
        <v>1213</v>
      </c>
      <c r="F454" s="29">
        <v>1260</v>
      </c>
      <c r="G454" s="29">
        <v>5133</v>
      </c>
      <c r="H454" s="29">
        <v>22583</v>
      </c>
      <c r="I454" s="29">
        <v>1808</v>
      </c>
      <c r="J454" s="29">
        <v>12059322</v>
      </c>
      <c r="K454" s="29">
        <v>6556</v>
      </c>
      <c r="L454" s="29">
        <v>12786</v>
      </c>
      <c r="N454" s="34"/>
      <c r="O454" s="29">
        <f t="shared" si="66"/>
        <v>9671</v>
      </c>
      <c r="P454" s="32" cm="1">
        <f t="array" ref="P454">WPNFACTOR(C454)</f>
        <v>4.5</v>
      </c>
      <c r="Q454" s="34" cm="1">
        <f t="array" ref="Q454">HPFACTOr(C454)</f>
        <v>2</v>
      </c>
      <c r="R454" s="33">
        <f t="shared" si="67"/>
        <v>2149.1111111111113</v>
      </c>
      <c r="S454" s="34">
        <f t="shared" si="68"/>
        <v>6029661</v>
      </c>
      <c r="T454" s="33">
        <f t="shared" si="69"/>
        <v>2149.1111111111113</v>
      </c>
      <c r="U454" s="42">
        <f t="shared" si="70"/>
        <v>6029660.9999999991</v>
      </c>
      <c r="V454" s="44"/>
      <c r="W454" s="29">
        <f t="shared" si="65"/>
        <v>12958411451.333332</v>
      </c>
      <c r="X454" s="41">
        <f t="shared" si="71"/>
        <v>33.593169820510418</v>
      </c>
      <c r="Y454" s="33">
        <f t="shared" si="72"/>
        <v>337.39445544261127</v>
      </c>
      <c r="Z454" s="33">
        <v>0.8</v>
      </c>
      <c r="AA454" s="29">
        <f t="shared" si="73"/>
        <v>269.91556435408904</v>
      </c>
      <c r="AB454" s="48">
        <f t="shared" si="74"/>
        <v>2348.8246092093204</v>
      </c>
      <c r="AC454" s="29">
        <v>241</v>
      </c>
      <c r="AD454" s="47">
        <f t="shared" si="75"/>
        <v>0.10260451080727023</v>
      </c>
    </row>
    <row r="455" spans="1:30" hidden="1" x14ac:dyDescent="0.2">
      <c r="A455" s="30" t="s">
        <v>8844</v>
      </c>
      <c r="B455" s="29">
        <v>9</v>
      </c>
      <c r="C455" s="29">
        <v>1</v>
      </c>
      <c r="D455" s="29">
        <v>268</v>
      </c>
      <c r="E455" s="29">
        <v>5008</v>
      </c>
      <c r="F455" s="29">
        <v>1702</v>
      </c>
      <c r="G455" s="29">
        <v>1647</v>
      </c>
      <c r="H455" s="29">
        <v>24162</v>
      </c>
      <c r="I455" s="29">
        <v>1318</v>
      </c>
      <c r="J455" s="29">
        <v>32497890</v>
      </c>
      <c r="K455" s="29">
        <v>2874</v>
      </c>
      <c r="L455" s="29">
        <v>5726</v>
      </c>
      <c r="N455" s="34"/>
      <c r="O455" s="29">
        <f t="shared" si="66"/>
        <v>4300</v>
      </c>
      <c r="P455" s="32" cm="1">
        <f t="array" ref="P455">WPNFACTOR(C455)</f>
        <v>2</v>
      </c>
      <c r="Q455" s="34" cm="1">
        <f t="array" ref="Q455">HPFACTOr(C455)</f>
        <v>5</v>
      </c>
      <c r="R455" s="33">
        <f t="shared" si="67"/>
        <v>2150</v>
      </c>
      <c r="S455" s="34">
        <f t="shared" si="68"/>
        <v>6499578</v>
      </c>
      <c r="T455" s="33">
        <f t="shared" si="69"/>
        <v>2150</v>
      </c>
      <c r="U455" s="42">
        <f t="shared" si="70"/>
        <v>6499578</v>
      </c>
      <c r="V455" s="44"/>
      <c r="W455" s="29">
        <f t="shared" si="65"/>
        <v>13974092700</v>
      </c>
      <c r="X455" s="41">
        <f t="shared" si="71"/>
        <v>33.70203556470036</v>
      </c>
      <c r="Y455" s="33">
        <f t="shared" si="72"/>
        <v>343.81981711786426</v>
      </c>
      <c r="Z455" s="33">
        <v>0.8</v>
      </c>
      <c r="AA455" s="29">
        <f t="shared" si="73"/>
        <v>275.05585369429144</v>
      </c>
      <c r="AB455" s="48">
        <f t="shared" si="74"/>
        <v>2408.6546728890976</v>
      </c>
      <c r="AC455" s="29">
        <v>241</v>
      </c>
      <c r="AD455" s="47">
        <f t="shared" si="75"/>
        <v>0.10005585388084248</v>
      </c>
    </row>
    <row r="456" spans="1:30" hidden="1" x14ac:dyDescent="0.2">
      <c r="A456" s="30" t="s">
        <v>8844</v>
      </c>
      <c r="B456" s="29">
        <v>10</v>
      </c>
      <c r="C456" s="29">
        <v>3</v>
      </c>
      <c r="D456" s="29">
        <v>270</v>
      </c>
      <c r="E456" s="29">
        <v>1287</v>
      </c>
      <c r="F456" s="29">
        <v>5067</v>
      </c>
      <c r="G456" s="29">
        <v>1266</v>
      </c>
      <c r="H456" s="29">
        <v>24673</v>
      </c>
      <c r="I456" s="29">
        <v>1869</v>
      </c>
      <c r="J456" s="29">
        <v>26745532</v>
      </c>
      <c r="K456" s="29">
        <v>3619</v>
      </c>
      <c r="L456" s="29">
        <v>7224</v>
      </c>
      <c r="N456" s="34"/>
      <c r="O456" s="29">
        <f t="shared" si="66"/>
        <v>5421.5</v>
      </c>
      <c r="P456" s="32" cm="1">
        <f t="array" ref="P456">WPNFACTOR(C456)</f>
        <v>2.5</v>
      </c>
      <c r="Q456" s="34" cm="1">
        <f t="array" ref="Q456">HPFACTOr(C456)</f>
        <v>4</v>
      </c>
      <c r="R456" s="33">
        <f t="shared" si="67"/>
        <v>2168.6</v>
      </c>
      <c r="S456" s="34">
        <f t="shared" si="68"/>
        <v>6686383</v>
      </c>
      <c r="T456" s="33">
        <f t="shared" si="69"/>
        <v>2168.6</v>
      </c>
      <c r="U456" s="42">
        <f t="shared" si="70"/>
        <v>6686383</v>
      </c>
      <c r="V456" s="44"/>
      <c r="W456" s="29">
        <f t="shared" si="65"/>
        <v>14500090173.799999</v>
      </c>
      <c r="X456" s="41">
        <f t="shared" si="71"/>
        <v>33.755342821037253</v>
      </c>
      <c r="Y456" s="33">
        <f t="shared" si="72"/>
        <v>347.01054769799913</v>
      </c>
      <c r="Z456" s="33">
        <v>0.8</v>
      </c>
      <c r="AA456" s="29">
        <f t="shared" si="73"/>
        <v>277.60843815839934</v>
      </c>
      <c r="AB456" s="48">
        <f t="shared" si="74"/>
        <v>2438.5045354403014</v>
      </c>
      <c r="AC456" s="29">
        <v>245</v>
      </c>
      <c r="AD456" s="47">
        <f t="shared" si="75"/>
        <v>0.10047141452446071</v>
      </c>
    </row>
    <row r="457" spans="1:30" hidden="1" x14ac:dyDescent="0.2">
      <c r="A457" s="30" t="s">
        <v>8845</v>
      </c>
      <c r="B457" s="29">
        <v>1</v>
      </c>
      <c r="C457" s="29">
        <v>1</v>
      </c>
      <c r="D457" s="29">
        <v>272</v>
      </c>
      <c r="E457" s="29">
        <v>4966</v>
      </c>
      <c r="F457" s="29">
        <v>1626</v>
      </c>
      <c r="G457" s="29">
        <v>1552</v>
      </c>
      <c r="H457" s="29">
        <v>22764</v>
      </c>
      <c r="I457" s="29">
        <v>1330</v>
      </c>
      <c r="J457" s="29">
        <v>31072860</v>
      </c>
      <c r="K457" s="29">
        <v>3013</v>
      </c>
      <c r="L457" s="29">
        <v>5695</v>
      </c>
      <c r="N457" s="34"/>
      <c r="O457" s="29">
        <f t="shared" si="66"/>
        <v>4354</v>
      </c>
      <c r="P457" s="32" cm="1">
        <f t="array" ref="P457">WPNFACTOR(C457)</f>
        <v>2</v>
      </c>
      <c r="Q457" s="34" cm="1">
        <f t="array" ref="Q457">HPFACTOr(C457)</f>
        <v>5</v>
      </c>
      <c r="R457" s="33">
        <f t="shared" si="67"/>
        <v>2177</v>
      </c>
      <c r="S457" s="34">
        <f t="shared" si="68"/>
        <v>6214572</v>
      </c>
      <c r="T457" s="33">
        <f t="shared" si="69"/>
        <v>2177</v>
      </c>
      <c r="U457" s="42">
        <f t="shared" si="70"/>
        <v>6214572</v>
      </c>
      <c r="V457" s="44"/>
      <c r="W457" s="29">
        <f t="shared" si="65"/>
        <v>13529123244</v>
      </c>
      <c r="X457" s="41">
        <f t="shared" si="71"/>
        <v>33.655349297240697</v>
      </c>
      <c r="Y457" s="33">
        <f t="shared" si="72"/>
        <v>341.04949692941955</v>
      </c>
      <c r="Z457" s="33">
        <v>0.8</v>
      </c>
      <c r="AA457" s="29">
        <f t="shared" si="73"/>
        <v>272.83959754353566</v>
      </c>
      <c r="AB457" s="48">
        <f t="shared" si="74"/>
        <v>2382.8125803267767</v>
      </c>
      <c r="AC457" s="29">
        <v>242</v>
      </c>
      <c r="AD457" s="47">
        <f t="shared" si="75"/>
        <v>0.10156065231400295</v>
      </c>
    </row>
    <row r="458" spans="1:30" hidden="1" x14ac:dyDescent="0.2">
      <c r="A458" s="30" t="s">
        <v>8845</v>
      </c>
      <c r="B458" s="29">
        <v>2</v>
      </c>
      <c r="C458" s="29">
        <v>3</v>
      </c>
      <c r="D458" s="29">
        <v>274</v>
      </c>
      <c r="E458" s="29">
        <v>1286</v>
      </c>
      <c r="F458" s="29">
        <v>5032</v>
      </c>
      <c r="G458" s="29">
        <v>1258</v>
      </c>
      <c r="H458" s="29">
        <v>23370</v>
      </c>
      <c r="I458" s="29">
        <v>1845</v>
      </c>
      <c r="J458" s="29">
        <v>25707000</v>
      </c>
      <c r="K458" s="29">
        <v>3681</v>
      </c>
      <c r="L458" s="29">
        <v>7276</v>
      </c>
      <c r="N458" s="34"/>
      <c r="O458" s="29">
        <f t="shared" si="66"/>
        <v>5478.5</v>
      </c>
      <c r="P458" s="32" cm="1">
        <f t="array" ref="P458">WPNFACTOR(C458)</f>
        <v>2.5</v>
      </c>
      <c r="Q458" s="34" cm="1">
        <f t="array" ref="Q458">HPFACTOr(C458)</f>
        <v>4</v>
      </c>
      <c r="R458" s="33">
        <f t="shared" si="67"/>
        <v>2191.4</v>
      </c>
      <c r="S458" s="34">
        <f t="shared" si="68"/>
        <v>6426750</v>
      </c>
      <c r="T458" s="33">
        <f t="shared" si="69"/>
        <v>2191.4</v>
      </c>
      <c r="U458" s="42">
        <f t="shared" si="70"/>
        <v>6426750</v>
      </c>
      <c r="V458" s="44"/>
      <c r="W458" s="29">
        <f t="shared" si="65"/>
        <v>14083579950</v>
      </c>
      <c r="X458" s="41">
        <f t="shared" si="71"/>
        <v>33.713295052708958</v>
      </c>
      <c r="Y458" s="33">
        <f t="shared" si="72"/>
        <v>344.49130590773569</v>
      </c>
      <c r="Z458" s="33">
        <v>0.8</v>
      </c>
      <c r="AA458" s="29">
        <f t="shared" si="73"/>
        <v>275.59304472618857</v>
      </c>
      <c r="AB458" s="48">
        <f t="shared" si="74"/>
        <v>2414.92893154887</v>
      </c>
      <c r="AC458" s="29">
        <v>243</v>
      </c>
      <c r="AD458" s="47">
        <f t="shared" si="75"/>
        <v>0.10062407917078801</v>
      </c>
    </row>
    <row r="459" spans="1:30" hidden="1" x14ac:dyDescent="0.2">
      <c r="A459" s="30" t="s">
        <v>8845</v>
      </c>
      <c r="B459" s="29">
        <v>3</v>
      </c>
      <c r="C459" s="29">
        <v>2</v>
      </c>
      <c r="D459" s="29">
        <v>276</v>
      </c>
      <c r="E459" s="29">
        <v>1247</v>
      </c>
      <c r="F459" s="29">
        <v>1300</v>
      </c>
      <c r="G459" s="29">
        <v>5307</v>
      </c>
      <c r="H459" s="29">
        <v>22770</v>
      </c>
      <c r="I459" s="29">
        <v>1857</v>
      </c>
      <c r="J459" s="29">
        <v>12614580</v>
      </c>
      <c r="K459" s="29">
        <v>6792</v>
      </c>
      <c r="L459" s="29">
        <v>13218</v>
      </c>
      <c r="N459" s="34"/>
      <c r="O459" s="29">
        <f t="shared" si="66"/>
        <v>10005</v>
      </c>
      <c r="P459" s="32" cm="1">
        <f t="array" ref="P459">WPNFACTOR(C459)</f>
        <v>4.5</v>
      </c>
      <c r="Q459" s="34" cm="1">
        <f t="array" ref="Q459">HPFACTOr(C459)</f>
        <v>2</v>
      </c>
      <c r="R459" s="33">
        <f t="shared" si="67"/>
        <v>2223.3333333333335</v>
      </c>
      <c r="S459" s="34">
        <f t="shared" si="68"/>
        <v>6307290</v>
      </c>
      <c r="T459" s="33">
        <f t="shared" si="69"/>
        <v>2223.3333333333335</v>
      </c>
      <c r="U459" s="42">
        <f t="shared" si="70"/>
        <v>6307290</v>
      </c>
      <c r="V459" s="44"/>
      <c r="W459" s="29">
        <f t="shared" si="65"/>
        <v>14023208100.000002</v>
      </c>
      <c r="X459" s="41">
        <f t="shared" si="71"/>
        <v>33.707097382423967</v>
      </c>
      <c r="Y459" s="33">
        <f t="shared" si="72"/>
        <v>344.12152965758605</v>
      </c>
      <c r="Z459" s="33">
        <v>0.8</v>
      </c>
      <c r="AA459" s="29">
        <f t="shared" si="73"/>
        <v>275.29722372606886</v>
      </c>
      <c r="AB459" s="48">
        <f t="shared" si="74"/>
        <v>2411.4733104370571</v>
      </c>
      <c r="AC459" s="29">
        <v>243</v>
      </c>
      <c r="AD459" s="47">
        <f t="shared" si="75"/>
        <v>0.10076827263576826</v>
      </c>
    </row>
    <row r="460" spans="1:30" hidden="1" x14ac:dyDescent="0.2">
      <c r="A460" s="30" t="s">
        <v>8845</v>
      </c>
      <c r="B460" s="29">
        <v>4</v>
      </c>
      <c r="C460" s="29">
        <v>3</v>
      </c>
      <c r="D460" s="29">
        <v>278</v>
      </c>
      <c r="E460" s="29">
        <v>1311</v>
      </c>
      <c r="F460" s="29">
        <v>5140</v>
      </c>
      <c r="G460" s="29">
        <v>1285</v>
      </c>
      <c r="H460" s="29">
        <v>24233</v>
      </c>
      <c r="I460" s="29">
        <v>1888</v>
      </c>
      <c r="J460" s="29">
        <v>27044028</v>
      </c>
      <c r="K460" s="29">
        <v>3740</v>
      </c>
      <c r="L460" s="29">
        <v>7390</v>
      </c>
      <c r="N460" s="34"/>
      <c r="O460" s="29">
        <f t="shared" si="66"/>
        <v>5565</v>
      </c>
      <c r="P460" s="32" cm="1">
        <f t="array" ref="P460">WPNFACTOR(C460)</f>
        <v>2.5</v>
      </c>
      <c r="Q460" s="34" cm="1">
        <f t="array" ref="Q460">HPFACTOr(C460)</f>
        <v>4</v>
      </c>
      <c r="R460" s="33">
        <f t="shared" si="67"/>
        <v>2226</v>
      </c>
      <c r="S460" s="34">
        <f t="shared" si="68"/>
        <v>6761007</v>
      </c>
      <c r="T460" s="33">
        <f t="shared" si="69"/>
        <v>2226</v>
      </c>
      <c r="U460" s="42">
        <f t="shared" si="70"/>
        <v>6761007</v>
      </c>
      <c r="V460" s="44"/>
      <c r="W460" s="29">
        <f t="shared" si="65"/>
        <v>15050001582</v>
      </c>
      <c r="X460" s="41">
        <f t="shared" si="71"/>
        <v>33.809044587509327</v>
      </c>
      <c r="Y460" s="33">
        <f t="shared" si="72"/>
        <v>350.2548328169126</v>
      </c>
      <c r="Z460" s="33">
        <v>0.8</v>
      </c>
      <c r="AA460" s="29">
        <f t="shared" si="73"/>
        <v>280.20386625353007</v>
      </c>
      <c r="AB460" s="48">
        <f t="shared" si="74"/>
        <v>2468.9493573971117</v>
      </c>
      <c r="AC460" s="29">
        <v>245</v>
      </c>
      <c r="AD460" s="47">
        <f t="shared" si="75"/>
        <v>9.923249307077367E-2</v>
      </c>
    </row>
    <row r="461" spans="1:30" hidden="1" x14ac:dyDescent="0.2">
      <c r="A461" s="30" t="s">
        <v>8845</v>
      </c>
      <c r="B461" s="29">
        <v>5</v>
      </c>
      <c r="C461" s="29">
        <v>3</v>
      </c>
      <c r="D461" s="29">
        <v>280</v>
      </c>
      <c r="E461" s="29">
        <v>1328</v>
      </c>
      <c r="F461" s="29">
        <v>5220</v>
      </c>
      <c r="G461" s="29">
        <v>1305</v>
      </c>
      <c r="H461" s="29">
        <v>25052</v>
      </c>
      <c r="I461" s="29">
        <v>1922</v>
      </c>
      <c r="J461" s="29">
        <v>28158448</v>
      </c>
      <c r="K461" s="29">
        <v>3747</v>
      </c>
      <c r="L461" s="29">
        <v>7490</v>
      </c>
      <c r="N461" s="34"/>
      <c r="O461" s="29">
        <f t="shared" si="66"/>
        <v>5618.5</v>
      </c>
      <c r="P461" s="32" cm="1">
        <f t="array" ref="P461">WPNFACTOR(C461)</f>
        <v>2.5</v>
      </c>
      <c r="Q461" s="34" cm="1">
        <f t="array" ref="Q461">HPFACTOr(C461)</f>
        <v>4</v>
      </c>
      <c r="R461" s="33">
        <f t="shared" si="67"/>
        <v>2247.4</v>
      </c>
      <c r="S461" s="34">
        <f t="shared" si="68"/>
        <v>7039612</v>
      </c>
      <c r="T461" s="33">
        <f t="shared" si="69"/>
        <v>2247.4</v>
      </c>
      <c r="U461" s="42">
        <f t="shared" si="70"/>
        <v>7039612</v>
      </c>
      <c r="V461" s="44"/>
      <c r="W461" s="29">
        <f t="shared" si="65"/>
        <v>15820824008.800001</v>
      </c>
      <c r="X461" s="41">
        <f t="shared" si="71"/>
        <v>33.881105691696369</v>
      </c>
      <c r="Y461" s="33">
        <f t="shared" si="72"/>
        <v>354.65597003865184</v>
      </c>
      <c r="Z461" s="33">
        <v>0.8</v>
      </c>
      <c r="AA461" s="29">
        <f t="shared" si="73"/>
        <v>283.72477603092148</v>
      </c>
      <c r="AB461" s="48">
        <f t="shared" si="74"/>
        <v>2510.4006179907219</v>
      </c>
      <c r="AC461" s="29">
        <v>247</v>
      </c>
      <c r="AD461" s="47">
        <f t="shared" si="75"/>
        <v>9.8390670488957346E-2</v>
      </c>
    </row>
    <row r="462" spans="1:30" hidden="1" x14ac:dyDescent="0.2">
      <c r="A462" s="30" t="s">
        <v>8845</v>
      </c>
      <c r="B462" s="29">
        <v>6</v>
      </c>
      <c r="C462" s="29">
        <v>1</v>
      </c>
      <c r="D462" s="29">
        <v>282</v>
      </c>
      <c r="E462" s="29">
        <v>5276</v>
      </c>
      <c r="F462" s="29">
        <v>1796</v>
      </c>
      <c r="G462" s="29">
        <v>1739</v>
      </c>
      <c r="H462" s="29">
        <v>25514</v>
      </c>
      <c r="I462" s="29">
        <v>1387</v>
      </c>
      <c r="J462" s="29">
        <v>36102312</v>
      </c>
      <c r="K462" s="29">
        <v>3031</v>
      </c>
      <c r="L462" s="29">
        <v>6009</v>
      </c>
      <c r="N462" s="34"/>
      <c r="O462" s="29">
        <f t="shared" si="66"/>
        <v>4520</v>
      </c>
      <c r="P462" s="32" cm="1">
        <f t="array" ref="P462">WPNFACTOR(C462)</f>
        <v>2</v>
      </c>
      <c r="Q462" s="34" cm="1">
        <f t="array" ref="Q462">HPFACTOr(C462)</f>
        <v>5</v>
      </c>
      <c r="R462" s="33">
        <f t="shared" si="67"/>
        <v>2260</v>
      </c>
      <c r="S462" s="34">
        <f t="shared" si="68"/>
        <v>7220462.4000000004</v>
      </c>
      <c r="T462" s="33">
        <f t="shared" si="69"/>
        <v>2260</v>
      </c>
      <c r="U462" s="42">
        <f t="shared" si="70"/>
        <v>7220462.4000000004</v>
      </c>
      <c r="V462" s="44"/>
      <c r="W462" s="29">
        <f t="shared" si="65"/>
        <v>16318245024</v>
      </c>
      <c r="X462" s="41">
        <f t="shared" si="71"/>
        <v>33.925766857205339</v>
      </c>
      <c r="Y462" s="33">
        <f t="shared" si="72"/>
        <v>357.41136858379531</v>
      </c>
      <c r="Z462" s="33">
        <v>0.8</v>
      </c>
      <c r="AA462" s="29">
        <f t="shared" si="73"/>
        <v>285.92909486703627</v>
      </c>
      <c r="AB462" s="48">
        <f t="shared" si="74"/>
        <v>2536.4393567180455</v>
      </c>
      <c r="AC462" s="29">
        <v>248</v>
      </c>
      <c r="AD462" s="47">
        <f t="shared" si="75"/>
        <v>9.7774858816610008E-2</v>
      </c>
    </row>
    <row r="463" spans="1:30" hidden="1" x14ac:dyDescent="0.2">
      <c r="A463" s="30" t="s">
        <v>8845</v>
      </c>
      <c r="B463" s="29">
        <v>7</v>
      </c>
      <c r="C463" s="29">
        <v>3</v>
      </c>
      <c r="D463" s="29">
        <v>284</v>
      </c>
      <c r="E463" s="29">
        <v>1353</v>
      </c>
      <c r="F463" s="29">
        <v>5325</v>
      </c>
      <c r="G463" s="29">
        <v>1331</v>
      </c>
      <c r="H463" s="29">
        <v>25866</v>
      </c>
      <c r="I463" s="29">
        <v>1963</v>
      </c>
      <c r="J463" s="29">
        <v>29487240</v>
      </c>
      <c r="K463" s="29">
        <v>3800</v>
      </c>
      <c r="L463" s="29">
        <v>7597</v>
      </c>
      <c r="N463" s="34"/>
      <c r="O463" s="29">
        <f t="shared" si="66"/>
        <v>5698.5</v>
      </c>
      <c r="P463" s="32" cm="1">
        <f t="array" ref="P463">WPNFACTOR(C463)</f>
        <v>2.5</v>
      </c>
      <c r="Q463" s="34" cm="1">
        <f t="array" ref="Q463">HPFACTOr(C463)</f>
        <v>4</v>
      </c>
      <c r="R463" s="33">
        <f t="shared" si="67"/>
        <v>2279.4</v>
      </c>
      <c r="S463" s="34">
        <f t="shared" si="68"/>
        <v>7371810</v>
      </c>
      <c r="T463" s="33">
        <f t="shared" si="69"/>
        <v>2279.4</v>
      </c>
      <c r="U463" s="42">
        <f t="shared" si="70"/>
        <v>7371810</v>
      </c>
      <c r="V463" s="44"/>
      <c r="W463" s="29">
        <f t="shared" si="65"/>
        <v>16803303714</v>
      </c>
      <c r="X463" s="41">
        <f t="shared" si="71"/>
        <v>33.96802585945057</v>
      </c>
      <c r="Y463" s="33">
        <f t="shared" si="72"/>
        <v>360.03827254211961</v>
      </c>
      <c r="Z463" s="33">
        <v>0.8</v>
      </c>
      <c r="AA463" s="29">
        <f t="shared" si="73"/>
        <v>288.0306180336957</v>
      </c>
      <c r="AB463" s="48">
        <f t="shared" si="74"/>
        <v>2561.3262025950694</v>
      </c>
      <c r="AC463" s="29">
        <v>252</v>
      </c>
      <c r="AD463" s="47">
        <f t="shared" si="75"/>
        <v>9.8386531065305205E-2</v>
      </c>
    </row>
    <row r="464" spans="1:30" hidden="1" x14ac:dyDescent="0.2">
      <c r="A464" s="30" t="s">
        <v>8845</v>
      </c>
      <c r="B464" s="29">
        <v>8</v>
      </c>
      <c r="C464" s="29">
        <v>2</v>
      </c>
      <c r="D464" s="29">
        <v>286</v>
      </c>
      <c r="E464" s="29">
        <v>1324</v>
      </c>
      <c r="F464" s="29">
        <v>1366</v>
      </c>
      <c r="G464" s="29">
        <v>5551</v>
      </c>
      <c r="H464" s="29">
        <v>25443</v>
      </c>
      <c r="I464" s="29">
        <v>1976</v>
      </c>
      <c r="J464" s="29">
        <v>14604282</v>
      </c>
      <c r="K464" s="29">
        <v>6923</v>
      </c>
      <c r="L464" s="29">
        <v>13659</v>
      </c>
      <c r="N464" s="34"/>
      <c r="O464" s="29">
        <f t="shared" si="66"/>
        <v>10291</v>
      </c>
      <c r="P464" s="32" cm="1">
        <f t="array" ref="P464">WPNFACTOR(C464)</f>
        <v>4.5</v>
      </c>
      <c r="Q464" s="34" cm="1">
        <f t="array" ref="Q464">HPFACTOr(C464)</f>
        <v>2</v>
      </c>
      <c r="R464" s="33">
        <f t="shared" si="67"/>
        <v>2286.8888888888887</v>
      </c>
      <c r="S464" s="34">
        <f t="shared" si="68"/>
        <v>7302141</v>
      </c>
      <c r="T464" s="33">
        <f t="shared" si="69"/>
        <v>2286.8888888888887</v>
      </c>
      <c r="U464" s="42">
        <f t="shared" si="70"/>
        <v>7302141.0000000009</v>
      </c>
      <c r="V464" s="44"/>
      <c r="W464" s="29">
        <f t="shared" si="65"/>
        <v>16699185118</v>
      </c>
      <c r="X464" s="41">
        <f t="shared" si="71"/>
        <v>33.959058653075722</v>
      </c>
      <c r="Y464" s="33">
        <f t="shared" si="72"/>
        <v>359.4792440762356</v>
      </c>
      <c r="Z464" s="33">
        <v>0.8</v>
      </c>
      <c r="AA464" s="29">
        <f t="shared" si="73"/>
        <v>287.58339526098848</v>
      </c>
      <c r="AB464" s="48">
        <f t="shared" si="74"/>
        <v>2556.0249751021588</v>
      </c>
      <c r="AC464" s="29">
        <v>252</v>
      </c>
      <c r="AD464" s="47">
        <f t="shared" si="75"/>
        <v>9.859058595072144E-2</v>
      </c>
    </row>
    <row r="465" spans="1:30" hidden="1" x14ac:dyDescent="0.2">
      <c r="A465" s="30" t="s">
        <v>8845</v>
      </c>
      <c r="B465" s="29">
        <v>9</v>
      </c>
      <c r="C465" s="29">
        <v>3</v>
      </c>
      <c r="D465" s="29">
        <v>288</v>
      </c>
      <c r="E465" s="29">
        <v>1380</v>
      </c>
      <c r="F465" s="29">
        <v>5440</v>
      </c>
      <c r="G465" s="29">
        <v>1360</v>
      </c>
      <c r="H465" s="29">
        <v>26840</v>
      </c>
      <c r="I465" s="29">
        <v>2010</v>
      </c>
      <c r="J465" s="29">
        <v>31027040</v>
      </c>
      <c r="K465" s="29">
        <v>3853</v>
      </c>
      <c r="L465" s="29">
        <v>7676</v>
      </c>
      <c r="N465" s="34"/>
      <c r="O465" s="29">
        <f t="shared" si="66"/>
        <v>5764.5</v>
      </c>
      <c r="P465" s="32" cm="1">
        <f t="array" ref="P465">WPNFACTOR(C465)</f>
        <v>2.5</v>
      </c>
      <c r="Q465" s="34" cm="1">
        <f t="array" ref="Q465">HPFACTOr(C465)</f>
        <v>4</v>
      </c>
      <c r="R465" s="33">
        <f t="shared" si="67"/>
        <v>2305.8000000000002</v>
      </c>
      <c r="S465" s="34">
        <f t="shared" si="68"/>
        <v>7756760</v>
      </c>
      <c r="T465" s="33">
        <f t="shared" si="69"/>
        <v>2305.8000000000002</v>
      </c>
      <c r="U465" s="42">
        <f t="shared" si="70"/>
        <v>7756760</v>
      </c>
      <c r="V465" s="44"/>
      <c r="W465" s="29">
        <f t="shared" si="65"/>
        <v>17885537208</v>
      </c>
      <c r="X465" s="41">
        <f t="shared" si="71"/>
        <v>34.05807440048482</v>
      </c>
      <c r="Y465" s="33">
        <f t="shared" si="72"/>
        <v>365.70045213124013</v>
      </c>
      <c r="Z465" s="33">
        <v>0.8</v>
      </c>
      <c r="AA465" s="29">
        <f t="shared" si="73"/>
        <v>292.56036170499209</v>
      </c>
      <c r="AB465" s="48">
        <f t="shared" si="74"/>
        <v>2615.1744407003653</v>
      </c>
      <c r="AC465" s="29">
        <v>255</v>
      </c>
      <c r="AD465" s="47">
        <f t="shared" si="75"/>
        <v>9.7507835818290159E-2</v>
      </c>
    </row>
    <row r="466" spans="1:30" hidden="1" x14ac:dyDescent="0.2">
      <c r="A466" s="30" t="s">
        <v>8845</v>
      </c>
      <c r="B466" s="29">
        <v>10</v>
      </c>
      <c r="C466" s="29">
        <v>3</v>
      </c>
      <c r="D466" s="29">
        <v>290</v>
      </c>
      <c r="E466" s="29">
        <v>1392</v>
      </c>
      <c r="F466" s="29">
        <v>5490</v>
      </c>
      <c r="G466" s="29">
        <v>1372</v>
      </c>
      <c r="H466" s="29">
        <v>27220</v>
      </c>
      <c r="I466" s="29">
        <v>2030</v>
      </c>
      <c r="J466" s="29">
        <v>31684080</v>
      </c>
      <c r="K466" s="29">
        <v>3903</v>
      </c>
      <c r="L466" s="29">
        <v>7743</v>
      </c>
      <c r="N466" s="34"/>
      <c r="O466" s="29">
        <f t="shared" si="66"/>
        <v>5823</v>
      </c>
      <c r="P466" s="32" cm="1">
        <f t="array" ref="P466">WPNFACTOR(C466)</f>
        <v>2.5</v>
      </c>
      <c r="Q466" s="34" cm="1">
        <f t="array" ref="Q466">HPFACTOr(C466)</f>
        <v>4</v>
      </c>
      <c r="R466" s="33">
        <f t="shared" si="67"/>
        <v>2329.1999999999998</v>
      </c>
      <c r="S466" s="34">
        <f t="shared" si="68"/>
        <v>7921020</v>
      </c>
      <c r="T466" s="33">
        <f t="shared" si="69"/>
        <v>2329.1999999999998</v>
      </c>
      <c r="U466" s="42">
        <f t="shared" si="70"/>
        <v>7921020</v>
      </c>
      <c r="V466" s="44"/>
      <c r="W466" s="29">
        <f t="shared" si="65"/>
        <v>18449639784</v>
      </c>
      <c r="X466" s="41">
        <f t="shared" si="71"/>
        <v>34.1028735978471</v>
      </c>
      <c r="Y466" s="33">
        <f t="shared" si="72"/>
        <v>368.55047292354567</v>
      </c>
      <c r="Z466" s="33">
        <v>0.8</v>
      </c>
      <c r="AA466" s="29">
        <f t="shared" si="73"/>
        <v>294.84037833883656</v>
      </c>
      <c r="AB466" s="48">
        <f t="shared" si="74"/>
        <v>2642.3841994730815</v>
      </c>
      <c r="AC466" s="29">
        <v>257</v>
      </c>
      <c r="AD466" s="47">
        <f t="shared" si="75"/>
        <v>9.7260648187060927E-2</v>
      </c>
    </row>
    <row r="467" spans="1:30" hidden="1" x14ac:dyDescent="0.2">
      <c r="A467" s="30" t="s">
        <v>8846</v>
      </c>
      <c r="B467" s="29">
        <v>1</v>
      </c>
      <c r="C467" s="29">
        <v>3</v>
      </c>
      <c r="D467" s="29">
        <v>292</v>
      </c>
      <c r="E467" s="29">
        <v>1381</v>
      </c>
      <c r="F467" s="29">
        <v>5422</v>
      </c>
      <c r="G467" s="29">
        <v>1355</v>
      </c>
      <c r="H467" s="29">
        <v>25806</v>
      </c>
      <c r="I467" s="29">
        <v>1994</v>
      </c>
      <c r="J467" s="29">
        <v>30244632</v>
      </c>
      <c r="K467" s="29">
        <v>3908</v>
      </c>
      <c r="L467" s="29">
        <v>7812</v>
      </c>
      <c r="N467" s="34"/>
      <c r="O467" s="29">
        <f t="shared" si="66"/>
        <v>5860</v>
      </c>
      <c r="P467" s="32" cm="1">
        <f t="array" ref="P467">WPNFACTOR(C467)</f>
        <v>2.5</v>
      </c>
      <c r="Q467" s="34" cm="1">
        <f t="array" ref="Q467">HPFACTOr(C467)</f>
        <v>4</v>
      </c>
      <c r="R467" s="33">
        <f t="shared" si="67"/>
        <v>2344</v>
      </c>
      <c r="S467" s="34">
        <f t="shared" si="68"/>
        <v>7561158</v>
      </c>
      <c r="T467" s="33">
        <f t="shared" si="69"/>
        <v>2344</v>
      </c>
      <c r="U467" s="42">
        <f t="shared" si="70"/>
        <v>7561158</v>
      </c>
      <c r="V467" s="44"/>
      <c r="W467" s="29">
        <f t="shared" si="65"/>
        <v>17723354352</v>
      </c>
      <c r="X467" s="41">
        <f t="shared" si="71"/>
        <v>34.044932625510306</v>
      </c>
      <c r="Y467" s="33">
        <f t="shared" si="72"/>
        <v>364.86859148561092</v>
      </c>
      <c r="Z467" s="33">
        <v>0.8</v>
      </c>
      <c r="AA467" s="29">
        <f t="shared" si="73"/>
        <v>291.89487318848876</v>
      </c>
      <c r="AB467" s="48">
        <f t="shared" si="74"/>
        <v>2607.2457821002117</v>
      </c>
      <c r="AC467" s="29">
        <v>250</v>
      </c>
      <c r="AD467" s="47">
        <f t="shared" si="75"/>
        <v>9.5886625540388362E-2</v>
      </c>
    </row>
    <row r="468" spans="1:30" hidden="1" x14ac:dyDescent="0.2">
      <c r="A468" s="30" t="s">
        <v>8846</v>
      </c>
      <c r="B468" s="29">
        <v>2</v>
      </c>
      <c r="C468" s="29">
        <v>3</v>
      </c>
      <c r="D468" s="29">
        <v>294</v>
      </c>
      <c r="E468" s="29">
        <v>1393</v>
      </c>
      <c r="F468" s="29">
        <v>5474</v>
      </c>
      <c r="G468" s="29">
        <v>1368</v>
      </c>
      <c r="H468" s="29">
        <v>26202</v>
      </c>
      <c r="I468" s="29">
        <v>2014</v>
      </c>
      <c r="J468" s="29">
        <v>30918360</v>
      </c>
      <c r="K468" s="29">
        <v>3935</v>
      </c>
      <c r="L468" s="29">
        <v>7864</v>
      </c>
      <c r="N468" s="34"/>
      <c r="O468" s="29">
        <f t="shared" si="66"/>
        <v>5899.5</v>
      </c>
      <c r="P468" s="32" cm="1">
        <f t="array" ref="P468">WPNFACTOR(C468)</f>
        <v>2.5</v>
      </c>
      <c r="Q468" s="34" cm="1">
        <f t="array" ref="Q468">HPFACTOr(C468)</f>
        <v>4</v>
      </c>
      <c r="R468" s="33">
        <f t="shared" si="67"/>
        <v>2359.8000000000002</v>
      </c>
      <c r="S468" s="34">
        <f t="shared" si="68"/>
        <v>7729590</v>
      </c>
      <c r="T468" s="33">
        <f t="shared" si="69"/>
        <v>2359.8000000000002</v>
      </c>
      <c r="U468" s="42">
        <f t="shared" si="70"/>
        <v>7729590</v>
      </c>
      <c r="V468" s="44"/>
      <c r="W468" s="29">
        <f t="shared" si="65"/>
        <v>18240286482</v>
      </c>
      <c r="X468" s="41">
        <f t="shared" si="71"/>
        <v>34.086409337527321</v>
      </c>
      <c r="Y468" s="33">
        <f t="shared" si="72"/>
        <v>367.50048262958592</v>
      </c>
      <c r="Z468" s="33">
        <v>0.8</v>
      </c>
      <c r="AA468" s="29">
        <f t="shared" si="73"/>
        <v>294.00038610366875</v>
      </c>
      <c r="AB468" s="48">
        <f t="shared" si="74"/>
        <v>2632.3515274093143</v>
      </c>
      <c r="AC468" s="29">
        <v>250</v>
      </c>
      <c r="AD468" s="47">
        <f t="shared" si="75"/>
        <v>9.4972118046119366E-2</v>
      </c>
    </row>
    <row r="469" spans="1:30" hidden="1" x14ac:dyDescent="0.2">
      <c r="A469" s="30" t="s">
        <v>8846</v>
      </c>
      <c r="B469" s="29">
        <v>3</v>
      </c>
      <c r="C469" s="29">
        <v>2</v>
      </c>
      <c r="D469" s="29">
        <v>296</v>
      </c>
      <c r="E469" s="29">
        <v>1356</v>
      </c>
      <c r="F469" s="29">
        <v>1406</v>
      </c>
      <c r="G469" s="29">
        <v>5722</v>
      </c>
      <c r="H469" s="29">
        <v>25504</v>
      </c>
      <c r="I469" s="29">
        <v>2022</v>
      </c>
      <c r="J469" s="29">
        <v>15149376</v>
      </c>
      <c r="K469" s="29">
        <v>7161</v>
      </c>
      <c r="L469" s="29">
        <v>14254</v>
      </c>
      <c r="N469" s="34"/>
      <c r="O469" s="29">
        <f t="shared" si="66"/>
        <v>10707.5</v>
      </c>
      <c r="P469" s="32" cm="1">
        <f t="array" ref="P469">WPNFACTOR(C469)</f>
        <v>4.5</v>
      </c>
      <c r="Q469" s="34" cm="1">
        <f t="array" ref="Q469">HPFACTOr(C469)</f>
        <v>2</v>
      </c>
      <c r="R469" s="33">
        <f t="shared" si="67"/>
        <v>2379.4444444444443</v>
      </c>
      <c r="S469" s="34">
        <f t="shared" si="68"/>
        <v>7574688</v>
      </c>
      <c r="T469" s="33">
        <f t="shared" si="69"/>
        <v>2379.4444444444443</v>
      </c>
      <c r="U469" s="42">
        <f t="shared" si="70"/>
        <v>7574688</v>
      </c>
      <c r="V469" s="44"/>
      <c r="W469" s="29">
        <f t="shared" si="65"/>
        <v>18023549280</v>
      </c>
      <c r="X469" s="41">
        <f t="shared" si="71"/>
        <v>34.06916409012733</v>
      </c>
      <c r="Y469" s="33">
        <f t="shared" si="72"/>
        <v>366.40389319527242</v>
      </c>
      <c r="Z469" s="33">
        <v>0.8</v>
      </c>
      <c r="AA469" s="29">
        <f t="shared" si="73"/>
        <v>293.12311455621796</v>
      </c>
      <c r="AB469" s="48">
        <f t="shared" si="74"/>
        <v>2621.8837956530574</v>
      </c>
      <c r="AC469" s="29">
        <v>251</v>
      </c>
      <c r="AD469" s="47">
        <f t="shared" si="75"/>
        <v>9.5732694338377819E-2</v>
      </c>
    </row>
    <row r="470" spans="1:30" hidden="1" x14ac:dyDescent="0.2">
      <c r="A470" s="30" t="s">
        <v>8846</v>
      </c>
      <c r="B470" s="29">
        <v>4</v>
      </c>
      <c r="C470" s="29">
        <v>1</v>
      </c>
      <c r="D470" s="29">
        <v>298</v>
      </c>
      <c r="E470" s="29">
        <v>5581</v>
      </c>
      <c r="F470" s="29">
        <v>1903</v>
      </c>
      <c r="G470" s="29">
        <v>1844</v>
      </c>
      <c r="H470" s="29">
        <v>27054</v>
      </c>
      <c r="I470" s="29">
        <v>1466</v>
      </c>
      <c r="J470" s="29">
        <v>40445728</v>
      </c>
      <c r="K470" s="29">
        <v>3190</v>
      </c>
      <c r="L470" s="29">
        <v>6377</v>
      </c>
      <c r="N470" s="34"/>
      <c r="O470" s="29">
        <f t="shared" si="66"/>
        <v>4783.5</v>
      </c>
      <c r="P470" s="32" cm="1">
        <f t="array" ref="P470">WPNFACTOR(C470)</f>
        <v>2</v>
      </c>
      <c r="Q470" s="34" cm="1">
        <f t="array" ref="Q470">HPFACTOr(C470)</f>
        <v>5</v>
      </c>
      <c r="R470" s="33">
        <f t="shared" si="67"/>
        <v>2391.75</v>
      </c>
      <c r="S470" s="34">
        <f t="shared" si="68"/>
        <v>8089145.5999999996</v>
      </c>
      <c r="T470" s="33">
        <f t="shared" si="69"/>
        <v>2391.75</v>
      </c>
      <c r="U470" s="42">
        <f t="shared" si="70"/>
        <v>8089145.6000000006</v>
      </c>
      <c r="V470" s="44"/>
      <c r="W470" s="29">
        <f t="shared" si="65"/>
        <v>19347213988.800003</v>
      </c>
      <c r="X470" s="41">
        <f t="shared" si="71"/>
        <v>34.171406781190406</v>
      </c>
      <c r="Y470" s="33">
        <f t="shared" si="72"/>
        <v>372.95343269835917</v>
      </c>
      <c r="Z470" s="33">
        <v>0.8</v>
      </c>
      <c r="AA470" s="29">
        <f t="shared" si="73"/>
        <v>298.36274615868734</v>
      </c>
      <c r="AB470" s="48">
        <f t="shared" si="74"/>
        <v>2684.5581259254991</v>
      </c>
      <c r="AC470" s="29">
        <v>251</v>
      </c>
      <c r="AD470" s="47">
        <f t="shared" si="75"/>
        <v>9.3497696166838618E-2</v>
      </c>
    </row>
    <row r="471" spans="1:30" hidden="1" x14ac:dyDescent="0.2">
      <c r="A471" s="30" t="s">
        <v>8846</v>
      </c>
      <c r="B471" s="29">
        <v>5</v>
      </c>
      <c r="C471" s="29">
        <v>1</v>
      </c>
      <c r="D471" s="29">
        <v>300</v>
      </c>
      <c r="E471" s="29">
        <v>5641</v>
      </c>
      <c r="F471" s="29">
        <v>1936</v>
      </c>
      <c r="G471" s="29">
        <v>1880</v>
      </c>
      <c r="H471" s="29">
        <v>27577</v>
      </c>
      <c r="I471" s="29">
        <v>1477</v>
      </c>
      <c r="J471" s="29">
        <v>41503384</v>
      </c>
      <c r="K471" s="29">
        <v>3213</v>
      </c>
      <c r="L471" s="29">
        <v>6419</v>
      </c>
      <c r="N471" s="34"/>
      <c r="O471" s="29">
        <f t="shared" si="66"/>
        <v>4816</v>
      </c>
      <c r="P471" s="32" cm="1">
        <f t="array" ref="P471">WPNFACTOR(C471)</f>
        <v>2</v>
      </c>
      <c r="Q471" s="34" cm="1">
        <f t="array" ref="Q471">HPFACTOr(C471)</f>
        <v>5</v>
      </c>
      <c r="R471" s="33">
        <f t="shared" si="67"/>
        <v>2408</v>
      </c>
      <c r="S471" s="34">
        <f t="shared" si="68"/>
        <v>8300676.7999999998</v>
      </c>
      <c r="T471" s="33">
        <f t="shared" si="69"/>
        <v>2408</v>
      </c>
      <c r="U471" s="42">
        <f t="shared" si="70"/>
        <v>8300676.7999999998</v>
      </c>
      <c r="V471" s="44"/>
      <c r="W471" s="29">
        <f t="shared" ref="W471:W535" si="76">T471*U471</f>
        <v>19988029734.399998</v>
      </c>
      <c r="X471" s="41">
        <f t="shared" si="71"/>
        <v>34.218417218229739</v>
      </c>
      <c r="Y471" s="33">
        <f t="shared" si="72"/>
        <v>376.00402740271267</v>
      </c>
      <c r="Z471" s="33">
        <v>0.8</v>
      </c>
      <c r="AA471" s="29">
        <f t="shared" si="73"/>
        <v>300.80322192217017</v>
      </c>
      <c r="AB471" s="48">
        <f t="shared" si="74"/>
        <v>2713.8759701893396</v>
      </c>
      <c r="AC471" s="29">
        <v>252</v>
      </c>
      <c r="AD471" s="47">
        <f t="shared" si="75"/>
        <v>9.2856122670343946E-2</v>
      </c>
    </row>
    <row r="472" spans="1:30" hidden="1" x14ac:dyDescent="0.2">
      <c r="A472" s="30" t="s">
        <v>8846</v>
      </c>
      <c r="B472" s="29">
        <v>6</v>
      </c>
      <c r="C472" s="29">
        <v>1</v>
      </c>
      <c r="D472" s="29">
        <v>302</v>
      </c>
      <c r="E472" s="29">
        <v>5689</v>
      </c>
      <c r="F472" s="29">
        <v>1958</v>
      </c>
      <c r="G472" s="29">
        <v>1903</v>
      </c>
      <c r="H472" s="29">
        <v>27924</v>
      </c>
      <c r="I472" s="29">
        <v>1488</v>
      </c>
      <c r="J472" s="29">
        <v>42304860</v>
      </c>
      <c r="K472" s="29">
        <v>3235</v>
      </c>
      <c r="L472" s="29">
        <v>6460</v>
      </c>
      <c r="N472" s="34"/>
      <c r="O472" s="29">
        <f t="shared" si="66"/>
        <v>4847.5</v>
      </c>
      <c r="P472" s="32" cm="1">
        <f t="array" ref="P472">WPNFACTOR(C472)</f>
        <v>2</v>
      </c>
      <c r="Q472" s="34" cm="1">
        <f t="array" ref="Q472">HPFACTOr(C472)</f>
        <v>5</v>
      </c>
      <c r="R472" s="33">
        <f t="shared" si="67"/>
        <v>2423.75</v>
      </c>
      <c r="S472" s="34">
        <f t="shared" si="68"/>
        <v>8460972</v>
      </c>
      <c r="T472" s="33">
        <f t="shared" si="69"/>
        <v>2423.75</v>
      </c>
      <c r="U472" s="42">
        <f t="shared" si="70"/>
        <v>8460972</v>
      </c>
      <c r="V472" s="44"/>
      <c r="W472" s="29">
        <f t="shared" si="76"/>
        <v>20507280885</v>
      </c>
      <c r="X472" s="41">
        <f t="shared" si="71"/>
        <v>34.255417162593609</v>
      </c>
      <c r="Y472" s="33">
        <f t="shared" si="72"/>
        <v>378.42256054426969</v>
      </c>
      <c r="Z472" s="33">
        <v>0.8</v>
      </c>
      <c r="AA472" s="29">
        <f t="shared" si="73"/>
        <v>302.73804843541575</v>
      </c>
      <c r="AB472" s="48">
        <f t="shared" si="74"/>
        <v>2737.1758104864566</v>
      </c>
      <c r="AC472" s="29">
        <v>253</v>
      </c>
      <c r="AD472" s="47">
        <f t="shared" si="75"/>
        <v>9.2431037506149935E-2</v>
      </c>
    </row>
    <row r="473" spans="1:30" hidden="1" x14ac:dyDescent="0.2">
      <c r="A473" s="30" t="s">
        <v>8846</v>
      </c>
      <c r="B473" s="29">
        <v>7</v>
      </c>
      <c r="C473" s="29">
        <v>2</v>
      </c>
      <c r="D473" s="29">
        <v>304</v>
      </c>
      <c r="E473" s="29">
        <v>1412</v>
      </c>
      <c r="F473" s="29">
        <v>1455</v>
      </c>
      <c r="G473" s="29">
        <v>5908</v>
      </c>
      <c r="H473" s="29">
        <v>27313</v>
      </c>
      <c r="I473" s="29">
        <v>2108</v>
      </c>
      <c r="J473" s="29">
        <v>16660930</v>
      </c>
      <c r="K473" s="29">
        <v>7333</v>
      </c>
      <c r="L473" s="29">
        <v>14626</v>
      </c>
      <c r="N473" s="34"/>
      <c r="O473" s="29">
        <f t="shared" si="66"/>
        <v>10979.5</v>
      </c>
      <c r="P473" s="32" cm="1">
        <f t="array" ref="P473">WPNFACTOR(C473)</f>
        <v>4.5</v>
      </c>
      <c r="Q473" s="34" cm="1">
        <f t="array" ref="Q473">HPFACTOr(C473)</f>
        <v>2</v>
      </c>
      <c r="R473" s="33">
        <f t="shared" si="67"/>
        <v>2439.8888888888887</v>
      </c>
      <c r="S473" s="34">
        <f t="shared" si="68"/>
        <v>8330465</v>
      </c>
      <c r="T473" s="33">
        <f t="shared" si="69"/>
        <v>2439.8888888888887</v>
      </c>
      <c r="U473" s="42">
        <f t="shared" si="70"/>
        <v>8330465</v>
      </c>
      <c r="V473" s="44"/>
      <c r="W473" s="29">
        <f t="shared" si="76"/>
        <v>20325408992.777775</v>
      </c>
      <c r="X473" s="41">
        <f t="shared" si="71"/>
        <v>34.242565331723284</v>
      </c>
      <c r="Y473" s="33">
        <f t="shared" si="72"/>
        <v>377.58073135014837</v>
      </c>
      <c r="Z473" s="33">
        <v>0.8</v>
      </c>
      <c r="AA473" s="29">
        <f t="shared" si="73"/>
        <v>302.06458508011872</v>
      </c>
      <c r="AB473" s="48">
        <f t="shared" si="74"/>
        <v>2729.0600865997321</v>
      </c>
      <c r="AC473" s="29">
        <v>253</v>
      </c>
      <c r="AD473" s="47">
        <f t="shared" si="75"/>
        <v>9.2705910449639425E-2</v>
      </c>
    </row>
    <row r="474" spans="1:30" hidden="1" x14ac:dyDescent="0.2">
      <c r="A474" s="30" t="s">
        <v>8846</v>
      </c>
      <c r="B474" s="29">
        <v>8</v>
      </c>
      <c r="C474" s="29">
        <v>1</v>
      </c>
      <c r="D474" s="29">
        <v>306</v>
      </c>
      <c r="E474" s="29">
        <v>5784</v>
      </c>
      <c r="F474" s="29">
        <v>2001</v>
      </c>
      <c r="G474" s="29">
        <v>1949</v>
      </c>
      <c r="H474" s="29">
        <v>28584</v>
      </c>
      <c r="I474" s="29">
        <v>1509</v>
      </c>
      <c r="J474" s="29">
        <v>43876440</v>
      </c>
      <c r="K474" s="29">
        <v>3277</v>
      </c>
      <c r="L474" s="29">
        <v>6544</v>
      </c>
      <c r="N474" s="34"/>
      <c r="O474" s="29">
        <f t="shared" si="66"/>
        <v>4910.5</v>
      </c>
      <c r="P474" s="32" cm="1">
        <f t="array" ref="P474">WPNFACTOR(C474)</f>
        <v>2</v>
      </c>
      <c r="Q474" s="34" cm="1">
        <f t="array" ref="Q474">HPFACTOr(C474)</f>
        <v>5</v>
      </c>
      <c r="R474" s="33">
        <f t="shared" si="67"/>
        <v>2455.25</v>
      </c>
      <c r="S474" s="34">
        <f t="shared" si="68"/>
        <v>8775288</v>
      </c>
      <c r="T474" s="33">
        <f t="shared" si="69"/>
        <v>2455.25</v>
      </c>
      <c r="U474" s="42">
        <f t="shared" si="70"/>
        <v>8775288</v>
      </c>
      <c r="V474" s="44"/>
      <c r="W474" s="29">
        <f t="shared" si="76"/>
        <v>21545525862</v>
      </c>
      <c r="X474" s="41">
        <f t="shared" si="71"/>
        <v>34.326669259632951</v>
      </c>
      <c r="Y474" s="33">
        <f t="shared" si="72"/>
        <v>383.12392615638265</v>
      </c>
      <c r="Z474" s="33">
        <v>0.8</v>
      </c>
      <c r="AA474" s="29">
        <f t="shared" si="73"/>
        <v>306.49914092510613</v>
      </c>
      <c r="AB474" s="48">
        <f t="shared" si="74"/>
        <v>2782.6101575334596</v>
      </c>
      <c r="AC474" s="29">
        <v>254</v>
      </c>
      <c r="AD474" s="47">
        <f t="shared" si="75"/>
        <v>9.1281202044180262E-2</v>
      </c>
    </row>
    <row r="475" spans="1:30" hidden="1" x14ac:dyDescent="0.2">
      <c r="A475" s="30" t="s">
        <v>8846</v>
      </c>
      <c r="B475" s="29">
        <v>9</v>
      </c>
      <c r="C475" s="29">
        <v>1</v>
      </c>
      <c r="D475" s="29">
        <v>308</v>
      </c>
      <c r="E475" s="29">
        <v>5827</v>
      </c>
      <c r="F475" s="29">
        <v>2018</v>
      </c>
      <c r="G475" s="29">
        <v>1966</v>
      </c>
      <c r="H475" s="29">
        <v>28842</v>
      </c>
      <c r="I475" s="29">
        <v>1519</v>
      </c>
      <c r="J475" s="29">
        <v>44560888</v>
      </c>
      <c r="K475" s="29">
        <v>3297</v>
      </c>
      <c r="L475" s="29">
        <v>6588</v>
      </c>
      <c r="N475" s="34"/>
      <c r="O475" s="29">
        <f t="shared" si="66"/>
        <v>4942.5</v>
      </c>
      <c r="P475" s="32" cm="1">
        <f t="array" ref="P475">WPNFACTOR(C475)</f>
        <v>2</v>
      </c>
      <c r="Q475" s="34" cm="1">
        <f t="array" ref="Q475">HPFACTOr(C475)</f>
        <v>5</v>
      </c>
      <c r="R475" s="33">
        <f t="shared" si="67"/>
        <v>2471.25</v>
      </c>
      <c r="S475" s="34">
        <f t="shared" si="68"/>
        <v>8912177.5999999996</v>
      </c>
      <c r="T475" s="33">
        <f t="shared" si="69"/>
        <v>2471.25</v>
      </c>
      <c r="U475" s="42">
        <f t="shared" si="70"/>
        <v>8912177.5999999996</v>
      </c>
      <c r="V475" s="44"/>
      <c r="W475" s="29">
        <f t="shared" si="76"/>
        <v>22024218894</v>
      </c>
      <c r="X475" s="41">
        <f t="shared" si="71"/>
        <v>34.358371802628369</v>
      </c>
      <c r="Y475" s="33">
        <f t="shared" si="72"/>
        <v>385.23445998540541</v>
      </c>
      <c r="Z475" s="33">
        <v>0.8</v>
      </c>
      <c r="AA475" s="29">
        <f t="shared" si="73"/>
        <v>308.18756798832436</v>
      </c>
      <c r="AB475" s="48">
        <f t="shared" si="74"/>
        <v>2803.0671701475621</v>
      </c>
      <c r="AC475" s="29">
        <v>258</v>
      </c>
      <c r="AD475" s="47">
        <f t="shared" si="75"/>
        <v>9.2042032651831918E-2</v>
      </c>
    </row>
    <row r="476" spans="1:30" hidden="1" x14ac:dyDescent="0.2">
      <c r="A476" s="30" t="s">
        <v>8846</v>
      </c>
      <c r="B476" s="29">
        <v>10</v>
      </c>
      <c r="C476" s="29">
        <v>1</v>
      </c>
      <c r="D476" s="29">
        <v>310</v>
      </c>
      <c r="E476" s="29">
        <v>5908</v>
      </c>
      <c r="F476" s="29">
        <v>2069</v>
      </c>
      <c r="G476" s="29">
        <v>2024</v>
      </c>
      <c r="H476" s="29">
        <v>29684</v>
      </c>
      <c r="I476" s="29">
        <v>1531</v>
      </c>
      <c r="J476" s="29">
        <v>46158620</v>
      </c>
      <c r="K476" s="29">
        <v>3317</v>
      </c>
      <c r="L476" s="29">
        <v>6624</v>
      </c>
      <c r="N476" s="34"/>
      <c r="O476" s="29">
        <f t="shared" si="66"/>
        <v>4970.5</v>
      </c>
      <c r="P476" s="32" cm="1">
        <f t="array" ref="P476">WPNFACTOR(C476)</f>
        <v>2</v>
      </c>
      <c r="Q476" s="34" cm="1">
        <f t="array" ref="Q476">HPFACTOr(C476)</f>
        <v>5</v>
      </c>
      <c r="R476" s="33">
        <f t="shared" si="67"/>
        <v>2485.25</v>
      </c>
      <c r="S476" s="34">
        <f t="shared" si="68"/>
        <v>9231724</v>
      </c>
      <c r="T476" s="33">
        <f t="shared" si="69"/>
        <v>2485.25</v>
      </c>
      <c r="U476" s="42">
        <f t="shared" si="70"/>
        <v>9231724</v>
      </c>
      <c r="V476" s="44"/>
      <c r="W476" s="29">
        <f t="shared" si="76"/>
        <v>22943142071</v>
      </c>
      <c r="X476" s="41">
        <f t="shared" si="71"/>
        <v>34.417343931327373</v>
      </c>
      <c r="Y476" s="33">
        <f t="shared" si="72"/>
        <v>389.19138973744691</v>
      </c>
      <c r="Z476" s="33">
        <v>0.8</v>
      </c>
      <c r="AA476" s="29">
        <f t="shared" si="73"/>
        <v>311.35311178995755</v>
      </c>
      <c r="AB476" s="48">
        <f t="shared" si="74"/>
        <v>2841.5216202506426</v>
      </c>
      <c r="AC476" s="29">
        <v>259</v>
      </c>
      <c r="AD476" s="47">
        <f t="shared" si="75"/>
        <v>9.1148347474883665E-2</v>
      </c>
    </row>
    <row r="477" spans="1:30" hidden="1" x14ac:dyDescent="0.2">
      <c r="A477" s="30" t="s">
        <v>8847</v>
      </c>
      <c r="B477" s="29">
        <v>1</v>
      </c>
      <c r="C477" s="29">
        <v>1</v>
      </c>
      <c r="D477" s="29">
        <v>312</v>
      </c>
      <c r="E477" s="29">
        <v>5861</v>
      </c>
      <c r="F477" s="29">
        <v>2009</v>
      </c>
      <c r="G477" s="29">
        <v>1950</v>
      </c>
      <c r="H477" s="29">
        <v>28600</v>
      </c>
      <c r="I477" s="29">
        <v>1536</v>
      </c>
      <c r="J477" s="29">
        <v>44759000</v>
      </c>
      <c r="K477" s="29">
        <v>3343</v>
      </c>
      <c r="L477" s="29">
        <v>6676</v>
      </c>
      <c r="N477" s="34"/>
      <c r="O477" s="29">
        <f t="shared" si="66"/>
        <v>5009.5</v>
      </c>
      <c r="P477" s="32" cm="1">
        <f t="array" ref="P477">WPNFACTOR(C477)</f>
        <v>2</v>
      </c>
      <c r="Q477" s="34" cm="1">
        <f t="array" ref="Q477">HPFACTOr(C477)</f>
        <v>5</v>
      </c>
      <c r="R477" s="33">
        <f t="shared" si="67"/>
        <v>2504.75</v>
      </c>
      <c r="S477" s="34">
        <f t="shared" si="68"/>
        <v>8951800</v>
      </c>
      <c r="T477" s="33">
        <f t="shared" si="69"/>
        <v>2504.75</v>
      </c>
      <c r="U477" s="42">
        <f t="shared" si="70"/>
        <v>8951800</v>
      </c>
      <c r="V477" s="44"/>
      <c r="W477" s="29">
        <f t="shared" si="76"/>
        <v>22422021050</v>
      </c>
      <c r="X477" s="41">
        <f t="shared" si="71"/>
        <v>34.384197272842108</v>
      </c>
      <c r="Y477" s="33">
        <f t="shared" si="72"/>
        <v>386.96232964441128</v>
      </c>
      <c r="Z477" s="33">
        <v>0.8</v>
      </c>
      <c r="AA477" s="29">
        <f t="shared" si="73"/>
        <v>309.56986371552904</v>
      </c>
      <c r="AB477" s="48">
        <f t="shared" si="74"/>
        <v>2819.8429338437677</v>
      </c>
      <c r="AC477" s="29">
        <v>257</v>
      </c>
      <c r="AD477" s="47">
        <f t="shared" si="75"/>
        <v>9.1139828007966273E-2</v>
      </c>
    </row>
    <row r="478" spans="1:30" hidden="1" x14ac:dyDescent="0.2">
      <c r="A478" s="30" t="s">
        <v>8847</v>
      </c>
      <c r="B478" s="29">
        <v>2</v>
      </c>
      <c r="C478" s="29">
        <v>3</v>
      </c>
      <c r="D478" s="29">
        <v>314</v>
      </c>
      <c r="E478" s="29">
        <v>1502</v>
      </c>
      <c r="F478" s="29">
        <v>5921</v>
      </c>
      <c r="G478" s="29">
        <v>1480</v>
      </c>
      <c r="H478" s="29">
        <v>29112</v>
      </c>
      <c r="I478" s="29">
        <v>2186</v>
      </c>
      <c r="J478" s="29">
        <v>36681120</v>
      </c>
      <c r="K478" s="29">
        <v>4202</v>
      </c>
      <c r="L478" s="29">
        <v>8396</v>
      </c>
      <c r="N478" s="34"/>
      <c r="O478" s="29">
        <f t="shared" si="66"/>
        <v>6299</v>
      </c>
      <c r="P478" s="32" cm="1">
        <f t="array" ref="P478">WPNFACTOR(C478)</f>
        <v>2.5</v>
      </c>
      <c r="Q478" s="34" cm="1">
        <f t="array" ref="Q478">HPFACTOr(C478)</f>
        <v>4</v>
      </c>
      <c r="R478" s="33">
        <f t="shared" si="67"/>
        <v>2519.6</v>
      </c>
      <c r="S478" s="34">
        <f t="shared" si="68"/>
        <v>9170280</v>
      </c>
      <c r="T478" s="33">
        <f t="shared" si="69"/>
        <v>2519.6</v>
      </c>
      <c r="U478" s="42">
        <f t="shared" si="70"/>
        <v>9170280</v>
      </c>
      <c r="V478" s="44"/>
      <c r="W478" s="29">
        <f t="shared" si="76"/>
        <v>23105437488</v>
      </c>
      <c r="X478" s="41">
        <f t="shared" si="71"/>
        <v>34.427513355226921</v>
      </c>
      <c r="Y478" s="33">
        <f t="shared" si="72"/>
        <v>389.87783792541836</v>
      </c>
      <c r="Z478" s="33">
        <v>0.8</v>
      </c>
      <c r="AA478" s="29">
        <f t="shared" si="73"/>
        <v>311.90227034033472</v>
      </c>
      <c r="AB478" s="48">
        <f t="shared" si="74"/>
        <v>2848.2060111413857</v>
      </c>
      <c r="AC478" s="29">
        <v>262</v>
      </c>
      <c r="AD478" s="47">
        <f t="shared" si="75"/>
        <v>9.1987728055881221E-2</v>
      </c>
    </row>
    <row r="479" spans="1:30" hidden="1" x14ac:dyDescent="0.2">
      <c r="A479" s="30" t="s">
        <v>8847</v>
      </c>
      <c r="B479" s="29">
        <v>3</v>
      </c>
      <c r="C479" s="29">
        <v>1</v>
      </c>
      <c r="D479" s="29">
        <v>316</v>
      </c>
      <c r="E479" s="29">
        <v>5991</v>
      </c>
      <c r="F479" s="29">
        <v>2082</v>
      </c>
      <c r="G479" s="29">
        <v>2031</v>
      </c>
      <c r="H479" s="29">
        <v>29794</v>
      </c>
      <c r="I479" s="29">
        <v>1559</v>
      </c>
      <c r="J479" s="29">
        <v>47223488</v>
      </c>
      <c r="K479" s="29">
        <v>3383</v>
      </c>
      <c r="L479" s="29">
        <v>6762</v>
      </c>
      <c r="N479" s="34"/>
      <c r="O479" s="29">
        <f t="shared" si="66"/>
        <v>5072.5</v>
      </c>
      <c r="P479" s="32" cm="1">
        <f t="array" ref="P479">WPNFACTOR(C479)</f>
        <v>2</v>
      </c>
      <c r="Q479" s="34" cm="1">
        <f t="array" ref="Q479">HPFACTOr(C479)</f>
        <v>5</v>
      </c>
      <c r="R479" s="33">
        <f t="shared" si="67"/>
        <v>2536.25</v>
      </c>
      <c r="S479" s="34">
        <f t="shared" si="68"/>
        <v>9444697.5999999996</v>
      </c>
      <c r="T479" s="33">
        <f t="shared" si="69"/>
        <v>2536.25</v>
      </c>
      <c r="U479" s="42">
        <f t="shared" si="70"/>
        <v>9444697.5999999996</v>
      </c>
      <c r="V479" s="44"/>
      <c r="W479" s="29">
        <f t="shared" si="76"/>
        <v>23954114288</v>
      </c>
      <c r="X479" s="41">
        <f t="shared" si="71"/>
        <v>34.479554419161559</v>
      </c>
      <c r="Y479" s="33">
        <f t="shared" si="72"/>
        <v>393.40966878784013</v>
      </c>
      <c r="Z479" s="33">
        <v>0.8</v>
      </c>
      <c r="AA479" s="29">
        <f t="shared" si="73"/>
        <v>314.72773503027213</v>
      </c>
      <c r="AB479" s="48">
        <f t="shared" si="74"/>
        <v>2882.6596720307666</v>
      </c>
      <c r="AC479" s="29">
        <v>262</v>
      </c>
      <c r="AD479" s="47">
        <f t="shared" si="75"/>
        <v>9.0888287140544449E-2</v>
      </c>
    </row>
    <row r="480" spans="1:30" hidden="1" x14ac:dyDescent="0.2">
      <c r="A480" s="30" t="s">
        <v>8847</v>
      </c>
      <c r="B480" s="29">
        <v>4</v>
      </c>
      <c r="C480" s="29">
        <v>3</v>
      </c>
      <c r="D480" s="29">
        <v>318</v>
      </c>
      <c r="E480" s="29">
        <v>1529</v>
      </c>
      <c r="F480" s="29">
        <v>6037</v>
      </c>
      <c r="G480" s="29">
        <v>1509</v>
      </c>
      <c r="H480" s="29">
        <v>30107</v>
      </c>
      <c r="I480" s="29">
        <v>2234</v>
      </c>
      <c r="J480" s="29">
        <v>38416532</v>
      </c>
      <c r="K480" s="29">
        <v>4253</v>
      </c>
      <c r="L480" s="29">
        <v>8490</v>
      </c>
      <c r="N480" s="34"/>
      <c r="O480" s="29">
        <f t="shared" si="66"/>
        <v>6371.5</v>
      </c>
      <c r="P480" s="32" cm="1">
        <f t="array" ref="P480">WPNFACTOR(C480)</f>
        <v>2.5</v>
      </c>
      <c r="Q480" s="34" cm="1">
        <f t="array" ref="Q480">HPFACTOr(C480)</f>
        <v>4</v>
      </c>
      <c r="R480" s="33">
        <f t="shared" si="67"/>
        <v>2548.6</v>
      </c>
      <c r="S480" s="34">
        <f t="shared" si="68"/>
        <v>9604133</v>
      </c>
      <c r="T480" s="33">
        <f t="shared" si="69"/>
        <v>2548.6</v>
      </c>
      <c r="U480" s="42">
        <f t="shared" si="70"/>
        <v>9604133</v>
      </c>
      <c r="V480" s="44"/>
      <c r="W480" s="29">
        <f t="shared" si="76"/>
        <v>24477093363.799999</v>
      </c>
      <c r="X480" s="41">
        <f t="shared" si="71"/>
        <v>34.510713198137751</v>
      </c>
      <c r="Y480" s="33">
        <f t="shared" si="72"/>
        <v>395.53959188466467</v>
      </c>
      <c r="Z480" s="33">
        <v>0.8</v>
      </c>
      <c r="AA480" s="29">
        <f t="shared" si="73"/>
        <v>316.43167350773177</v>
      </c>
      <c r="AB480" s="48">
        <f t="shared" si="74"/>
        <v>2903.4874162251299</v>
      </c>
      <c r="AC480" s="29">
        <v>263</v>
      </c>
      <c r="AD480" s="47">
        <f t="shared" si="75"/>
        <v>9.0580726656611613E-2</v>
      </c>
    </row>
    <row r="481" spans="1:30" hidden="1" x14ac:dyDescent="0.2">
      <c r="A481" s="30" t="s">
        <v>8847</v>
      </c>
      <c r="B481" s="29">
        <v>5</v>
      </c>
      <c r="C481" s="29">
        <v>3</v>
      </c>
      <c r="D481" s="29">
        <v>320</v>
      </c>
      <c r="E481" s="29">
        <v>1541</v>
      </c>
      <c r="F481" s="29">
        <v>6087</v>
      </c>
      <c r="G481" s="29">
        <v>1521</v>
      </c>
      <c r="H481" s="29">
        <v>30476</v>
      </c>
      <c r="I481" s="29">
        <v>2253</v>
      </c>
      <c r="J481" s="29">
        <v>39131184</v>
      </c>
      <c r="K481" s="29">
        <v>4281</v>
      </c>
      <c r="L481" s="29">
        <v>8558</v>
      </c>
      <c r="N481" s="34"/>
      <c r="O481" s="29">
        <f t="shared" si="66"/>
        <v>6419.5</v>
      </c>
      <c r="P481" s="32" cm="1">
        <f t="array" ref="P481">WPNFACTOR(C481)</f>
        <v>2.5</v>
      </c>
      <c r="Q481" s="34" cm="1">
        <f t="array" ref="Q481">HPFACTOr(C481)</f>
        <v>4</v>
      </c>
      <c r="R481" s="33">
        <f t="shared" si="67"/>
        <v>2567.8000000000002</v>
      </c>
      <c r="S481" s="34">
        <f t="shared" si="68"/>
        <v>9782796</v>
      </c>
      <c r="T481" s="33">
        <f t="shared" si="69"/>
        <v>2567.8000000000002</v>
      </c>
      <c r="U481" s="42">
        <f t="shared" si="70"/>
        <v>9782796</v>
      </c>
      <c r="V481" s="44"/>
      <c r="W481" s="29">
        <f t="shared" si="76"/>
        <v>25120263568.800003</v>
      </c>
      <c r="X481" s="41">
        <f t="shared" si="71"/>
        <v>34.548132550340661</v>
      </c>
      <c r="Y481" s="33">
        <f t="shared" si="72"/>
        <v>398.11271460686208</v>
      </c>
      <c r="Z481" s="33">
        <v>0.8</v>
      </c>
      <c r="AA481" s="29">
        <f t="shared" si="73"/>
        <v>318.49017168548971</v>
      </c>
      <c r="AB481" s="48">
        <f t="shared" si="74"/>
        <v>2928.6989439503318</v>
      </c>
      <c r="AC481" s="29">
        <v>264</v>
      </c>
      <c r="AD481" s="47">
        <f t="shared" si="75"/>
        <v>9.0142416497035902E-2</v>
      </c>
    </row>
    <row r="482" spans="1:30" hidden="1" x14ac:dyDescent="0.2">
      <c r="A482" s="30" t="s">
        <v>8847</v>
      </c>
      <c r="B482" s="29">
        <v>6</v>
      </c>
      <c r="C482" s="29">
        <v>2</v>
      </c>
      <c r="D482" s="29">
        <v>322</v>
      </c>
      <c r="E482" s="29">
        <v>1514</v>
      </c>
      <c r="F482" s="29">
        <v>1552</v>
      </c>
      <c r="G482" s="29">
        <v>6286</v>
      </c>
      <c r="H482" s="29">
        <v>29936</v>
      </c>
      <c r="I482" s="29">
        <v>2261</v>
      </c>
      <c r="J482" s="29">
        <v>19338656</v>
      </c>
      <c r="K482" s="29">
        <v>7752</v>
      </c>
      <c r="L482" s="29">
        <v>15493</v>
      </c>
      <c r="N482" s="34"/>
      <c r="O482" s="29">
        <f t="shared" si="66"/>
        <v>11622.5</v>
      </c>
      <c r="P482" s="32" cm="1">
        <f t="array" ref="P482">WPNFACTOR(C482)</f>
        <v>4.5</v>
      </c>
      <c r="Q482" s="34" cm="1">
        <f t="array" ref="Q482">HPFACTOr(C482)</f>
        <v>2</v>
      </c>
      <c r="R482" s="33">
        <f t="shared" si="67"/>
        <v>2582.7777777777778</v>
      </c>
      <c r="S482" s="34">
        <f t="shared" si="68"/>
        <v>9669328</v>
      </c>
      <c r="T482" s="33">
        <f t="shared" si="69"/>
        <v>2582.7777777777778</v>
      </c>
      <c r="U482" s="42">
        <f t="shared" si="70"/>
        <v>9669328</v>
      </c>
      <c r="V482" s="44"/>
      <c r="W482" s="29">
        <f t="shared" si="76"/>
        <v>24973725484.444447</v>
      </c>
      <c r="X482" s="41">
        <f t="shared" si="71"/>
        <v>34.539692001898729</v>
      </c>
      <c r="Y482" s="33">
        <f t="shared" si="72"/>
        <v>397.53084641644784</v>
      </c>
      <c r="Z482" s="33">
        <v>0.8</v>
      </c>
      <c r="AA482" s="29">
        <f t="shared" si="73"/>
        <v>318.02467713315832</v>
      </c>
      <c r="AB482" s="48">
        <f t="shared" si="74"/>
        <v>2922.9930171476867</v>
      </c>
      <c r="AC482" s="29">
        <v>265</v>
      </c>
      <c r="AD482" s="47">
        <f t="shared" si="75"/>
        <v>9.0660497115587407E-2</v>
      </c>
    </row>
    <row r="483" spans="1:30" hidden="1" x14ac:dyDescent="0.2">
      <c r="A483" s="30" t="s">
        <v>8847</v>
      </c>
      <c r="B483" s="29">
        <v>7</v>
      </c>
      <c r="C483" s="29">
        <v>1</v>
      </c>
      <c r="D483" s="29">
        <v>324</v>
      </c>
      <c r="E483" s="29">
        <v>6178</v>
      </c>
      <c r="F483" s="29">
        <v>2166</v>
      </c>
      <c r="G483" s="29">
        <v>2119</v>
      </c>
      <c r="H483" s="29">
        <v>31080</v>
      </c>
      <c r="I483" s="29">
        <v>1601</v>
      </c>
      <c r="J483" s="29">
        <v>50505000</v>
      </c>
      <c r="K483" s="29">
        <v>3468</v>
      </c>
      <c r="L483" s="29">
        <v>6932</v>
      </c>
      <c r="N483" s="34"/>
      <c r="O483" s="29">
        <f t="shared" si="66"/>
        <v>5200</v>
      </c>
      <c r="P483" s="32" cm="1">
        <f t="array" ref="P483">WPNFACTOR(C483)</f>
        <v>2</v>
      </c>
      <c r="Q483" s="34" cm="1">
        <f t="array" ref="Q483">HPFACTOr(C483)</f>
        <v>5</v>
      </c>
      <c r="R483" s="33">
        <f t="shared" si="67"/>
        <v>2600</v>
      </c>
      <c r="S483" s="34">
        <f t="shared" si="68"/>
        <v>10101000</v>
      </c>
      <c r="T483" s="33">
        <f t="shared" si="69"/>
        <v>2600</v>
      </c>
      <c r="U483" s="42">
        <f t="shared" si="70"/>
        <v>10101000</v>
      </c>
      <c r="V483" s="44"/>
      <c r="W483" s="29">
        <f t="shared" si="76"/>
        <v>26262600000</v>
      </c>
      <c r="X483" s="41">
        <f t="shared" si="71"/>
        <v>34.61229069912671</v>
      </c>
      <c r="Y483" s="33">
        <f t="shared" si="72"/>
        <v>402.563531929276</v>
      </c>
      <c r="Z483" s="33">
        <v>0.8</v>
      </c>
      <c r="AA483" s="29">
        <f t="shared" si="73"/>
        <v>322.05082554342084</v>
      </c>
      <c r="AB483" s="48">
        <f t="shared" si="74"/>
        <v>2972.4364140758662</v>
      </c>
      <c r="AC483" s="29">
        <v>267</v>
      </c>
      <c r="AD483" s="47">
        <f t="shared" si="75"/>
        <v>8.9825302481032418E-2</v>
      </c>
    </row>
    <row r="484" spans="1:30" hidden="1" x14ac:dyDescent="0.2">
      <c r="A484" s="30" t="s">
        <v>8847</v>
      </c>
      <c r="B484" s="29">
        <v>8</v>
      </c>
      <c r="C484" s="29">
        <v>3</v>
      </c>
      <c r="D484" s="29">
        <v>326</v>
      </c>
      <c r="E484" s="29">
        <v>1575</v>
      </c>
      <c r="F484" s="29">
        <v>6230</v>
      </c>
      <c r="G484" s="29">
        <v>1557</v>
      </c>
      <c r="H484" s="29">
        <v>31476</v>
      </c>
      <c r="I484" s="29">
        <v>2309</v>
      </c>
      <c r="J484" s="29">
        <v>41170608</v>
      </c>
      <c r="K484" s="29">
        <v>4374</v>
      </c>
      <c r="L484" s="29">
        <v>8717</v>
      </c>
      <c r="N484" s="34"/>
      <c r="O484" s="29">
        <f t="shared" si="66"/>
        <v>6545.5</v>
      </c>
      <c r="P484" s="32" cm="1">
        <f t="array" ref="P484">WPNFACTOR(C484)</f>
        <v>2.5</v>
      </c>
      <c r="Q484" s="34" cm="1">
        <f t="array" ref="Q484">HPFACTOr(C484)</f>
        <v>4</v>
      </c>
      <c r="R484" s="33">
        <f t="shared" si="67"/>
        <v>2618.1999999999998</v>
      </c>
      <c r="S484" s="34">
        <f t="shared" si="68"/>
        <v>10292652</v>
      </c>
      <c r="T484" s="33">
        <f t="shared" si="69"/>
        <v>2618.1999999999998</v>
      </c>
      <c r="U484" s="42">
        <f t="shared" si="70"/>
        <v>10292652</v>
      </c>
      <c r="V484" s="44"/>
      <c r="W484" s="29">
        <f t="shared" si="76"/>
        <v>26948221466.399998</v>
      </c>
      <c r="X484" s="41">
        <f t="shared" si="71"/>
        <v>34.649471009744737</v>
      </c>
      <c r="Y484" s="33">
        <f t="shared" si="72"/>
        <v>405.1655644067647</v>
      </c>
      <c r="Z484" s="33">
        <v>0.8</v>
      </c>
      <c r="AA484" s="29">
        <f t="shared" si="73"/>
        <v>324.1324515254118</v>
      </c>
      <c r="AB484" s="48">
        <f t="shared" si="74"/>
        <v>2998.0810493378331</v>
      </c>
      <c r="AC484" s="29">
        <v>268</v>
      </c>
      <c r="AD484" s="47">
        <f t="shared" si="75"/>
        <v>8.9390511994060812E-2</v>
      </c>
    </row>
    <row r="485" spans="1:30" hidden="1" x14ac:dyDescent="0.2">
      <c r="A485" s="30" t="s">
        <v>8847</v>
      </c>
      <c r="B485" s="29">
        <v>9</v>
      </c>
      <c r="C485" s="29">
        <v>2</v>
      </c>
      <c r="D485" s="29">
        <v>328</v>
      </c>
      <c r="E485" s="29">
        <v>1551</v>
      </c>
      <c r="F485" s="29">
        <v>1586</v>
      </c>
      <c r="G485" s="29">
        <v>6418</v>
      </c>
      <c r="H485" s="29">
        <v>31009</v>
      </c>
      <c r="I485" s="29">
        <v>2313</v>
      </c>
      <c r="J485" s="29">
        <v>20403922</v>
      </c>
      <c r="K485" s="29">
        <v>7923</v>
      </c>
      <c r="L485" s="29">
        <v>15777</v>
      </c>
      <c r="N485" s="34"/>
      <c r="O485" s="29">
        <f t="shared" si="66"/>
        <v>11850</v>
      </c>
      <c r="P485" s="32" cm="1">
        <f t="array" ref="P485">WPNFACTOR(C485)</f>
        <v>4.5</v>
      </c>
      <c r="Q485" s="34" cm="1">
        <f t="array" ref="Q485">HPFACTOr(C485)</f>
        <v>2</v>
      </c>
      <c r="R485" s="33">
        <f t="shared" si="67"/>
        <v>2633.3333333333335</v>
      </c>
      <c r="S485" s="34">
        <f t="shared" si="68"/>
        <v>10201961</v>
      </c>
      <c r="T485" s="33">
        <f t="shared" si="69"/>
        <v>2633.3333333333335</v>
      </c>
      <c r="U485" s="42">
        <f t="shared" si="70"/>
        <v>10201961</v>
      </c>
      <c r="V485" s="44"/>
      <c r="W485" s="29">
        <f t="shared" si="76"/>
        <v>26865163966.666668</v>
      </c>
      <c r="X485" s="41">
        <f t="shared" si="71"/>
        <v>34.64501759217363</v>
      </c>
      <c r="Y485" s="33">
        <f t="shared" si="72"/>
        <v>404.85301127905814</v>
      </c>
      <c r="Z485" s="33">
        <v>0.8</v>
      </c>
      <c r="AA485" s="29">
        <f t="shared" si="73"/>
        <v>323.88240902324651</v>
      </c>
      <c r="AB485" s="48">
        <f t="shared" si="74"/>
        <v>2994.9977365956997</v>
      </c>
      <c r="AC485" s="29">
        <v>268</v>
      </c>
      <c r="AD485" s="47">
        <f t="shared" si="75"/>
        <v>8.9482538409069196E-2</v>
      </c>
    </row>
    <row r="486" spans="1:30" hidden="1" x14ac:dyDescent="0.2">
      <c r="A486" s="30" t="s">
        <v>8847</v>
      </c>
      <c r="B486" s="29">
        <v>10</v>
      </c>
      <c r="C486" s="29">
        <v>2</v>
      </c>
      <c r="D486" s="29">
        <v>330</v>
      </c>
      <c r="E486" s="29">
        <v>1567</v>
      </c>
      <c r="F486" s="29">
        <v>1600</v>
      </c>
      <c r="G486" s="29">
        <v>6468</v>
      </c>
      <c r="H486" s="29">
        <v>31581</v>
      </c>
      <c r="I486" s="29">
        <v>2326</v>
      </c>
      <c r="J486" s="29">
        <v>20906622</v>
      </c>
      <c r="K486" s="29">
        <v>7962</v>
      </c>
      <c r="L486" s="29">
        <v>15873</v>
      </c>
      <c r="N486" s="34"/>
      <c r="O486" s="29">
        <f t="shared" si="66"/>
        <v>11917.5</v>
      </c>
      <c r="P486" s="32" cm="1">
        <f t="array" ref="P486">WPNFACTOR(C486)</f>
        <v>4.5</v>
      </c>
      <c r="Q486" s="34" cm="1">
        <f t="array" ref="Q486">HPFACTOr(C486)</f>
        <v>2</v>
      </c>
      <c r="R486" s="33">
        <f t="shared" si="67"/>
        <v>2648.3333333333335</v>
      </c>
      <c r="S486" s="34">
        <f t="shared" si="68"/>
        <v>10453311</v>
      </c>
      <c r="T486" s="33">
        <f t="shared" si="69"/>
        <v>2648.3333333333335</v>
      </c>
      <c r="U486" s="42">
        <f t="shared" si="70"/>
        <v>10453311</v>
      </c>
      <c r="V486" s="44"/>
      <c r="W486" s="29">
        <f t="shared" si="76"/>
        <v>27683851965</v>
      </c>
      <c r="X486" s="41">
        <f t="shared" si="71"/>
        <v>34.688325644166426</v>
      </c>
      <c r="Y486" s="33">
        <f t="shared" si="72"/>
        <v>407.9027465330397</v>
      </c>
      <c r="Z486" s="33">
        <v>0.8</v>
      </c>
      <c r="AA486" s="29">
        <f t="shared" si="73"/>
        <v>326.3221972264318</v>
      </c>
      <c r="AB486" s="48">
        <f t="shared" si="74"/>
        <v>3025.1169761927463</v>
      </c>
      <c r="AC486" s="29">
        <v>269</v>
      </c>
      <c r="AD486" s="47">
        <f t="shared" si="75"/>
        <v>8.8922181230343469E-2</v>
      </c>
    </row>
    <row r="487" spans="1:30" x14ac:dyDescent="0.2">
      <c r="A487" s="30" t="s">
        <v>8848</v>
      </c>
      <c r="B487" s="29">
        <v>1</v>
      </c>
      <c r="C487" s="29">
        <v>1</v>
      </c>
      <c r="D487" s="29">
        <v>332</v>
      </c>
      <c r="E487" s="29">
        <v>6290</v>
      </c>
      <c r="F487" s="29">
        <v>2184</v>
      </c>
      <c r="G487" s="29">
        <v>2129</v>
      </c>
      <c r="H487" s="29">
        <v>31229</v>
      </c>
      <c r="I487" s="29">
        <v>1638</v>
      </c>
      <c r="J487" s="29">
        <v>51996284</v>
      </c>
      <c r="K487" s="29">
        <v>3552</v>
      </c>
      <c r="L487" s="29">
        <v>7099</v>
      </c>
      <c r="N487" s="34"/>
      <c r="O487" s="29">
        <f t="shared" ref="O487:O551" si="77">AVERAGE(K487, L487)</f>
        <v>5325.5</v>
      </c>
      <c r="P487" s="32" cm="1">
        <f t="array" ref="P487">WPNFACTOR(C487)</f>
        <v>2</v>
      </c>
      <c r="Q487" s="34" cm="1">
        <f t="array" ref="Q487">HPFACTOr(C487)</f>
        <v>5</v>
      </c>
      <c r="R487" s="33">
        <f t="shared" ref="R487:R551" si="78">O487/P487</f>
        <v>2662.75</v>
      </c>
      <c r="S487" s="34">
        <f t="shared" ref="S487:S551" si="79">J487/Q487</f>
        <v>10399256.800000001</v>
      </c>
      <c r="T487" s="33">
        <f t="shared" ref="T487:T551" si="80">R487*(1 + (N487/400))</f>
        <v>2662.75</v>
      </c>
      <c r="U487" s="42">
        <f t="shared" ref="U487:U551" si="81">S487*1.6/(1 + (0.6*(1 - (M487/100))))</f>
        <v>10399256.800000001</v>
      </c>
      <c r="V487" s="44"/>
      <c r="W487" s="29">
        <f t="shared" si="76"/>
        <v>27690621044.200001</v>
      </c>
      <c r="X487" s="41">
        <f t="shared" ref="X487:X551" si="82">LOG(W487, 2)</f>
        <v>34.688678359651057</v>
      </c>
      <c r="Y487" s="33">
        <f t="shared" si="72"/>
        <v>407.92767869260626</v>
      </c>
      <c r="Z487" s="33">
        <v>0.8</v>
      </c>
      <c r="AA487" s="29">
        <f t="shared" si="73"/>
        <v>326.34214295408503</v>
      </c>
      <c r="AB487" s="48">
        <f t="shared" si="74"/>
        <v>3025.3635168796454</v>
      </c>
      <c r="AC487" s="29">
        <v>271</v>
      </c>
      <c r="AD487" s="47">
        <f t="shared" si="75"/>
        <v>8.9576012432221339E-2</v>
      </c>
    </row>
    <row r="488" spans="1:30" x14ac:dyDescent="0.2">
      <c r="A488" s="30" t="s">
        <v>8848</v>
      </c>
      <c r="B488" s="29">
        <v>2</v>
      </c>
      <c r="C488" s="29">
        <v>2</v>
      </c>
      <c r="D488" s="29">
        <v>334</v>
      </c>
      <c r="E488" s="29">
        <v>1562</v>
      </c>
      <c r="F488" s="29">
        <v>1605</v>
      </c>
      <c r="G488" s="29">
        <v>6508</v>
      </c>
      <c r="H488" s="29">
        <v>30613</v>
      </c>
      <c r="I488" s="29">
        <v>2333</v>
      </c>
      <c r="J488" s="29">
        <v>20510710</v>
      </c>
      <c r="K488" s="29">
        <v>8052</v>
      </c>
      <c r="L488" s="29">
        <v>16062</v>
      </c>
      <c r="N488" s="34"/>
      <c r="O488" s="29">
        <f t="shared" si="77"/>
        <v>12057</v>
      </c>
      <c r="P488" s="32" cm="1">
        <f t="array" ref="P488">WPNFACTOR(C488)</f>
        <v>4.5</v>
      </c>
      <c r="Q488" s="34" cm="1">
        <f t="array" ref="Q488">HPFACTOr(C488)</f>
        <v>2</v>
      </c>
      <c r="R488" s="33">
        <f t="shared" si="78"/>
        <v>2679.3333333333335</v>
      </c>
      <c r="S488" s="34">
        <f t="shared" si="79"/>
        <v>10255355</v>
      </c>
      <c r="T488" s="33">
        <f t="shared" si="80"/>
        <v>2679.3333333333335</v>
      </c>
      <c r="U488" s="42">
        <f t="shared" si="81"/>
        <v>10255355</v>
      </c>
      <c r="V488" s="44"/>
      <c r="W488" s="29">
        <f t="shared" si="76"/>
        <v>27477514496.666668</v>
      </c>
      <c r="X488" s="41">
        <f t="shared" si="82"/>
        <v>34.677532458651633</v>
      </c>
      <c r="Y488" s="33">
        <f t="shared" ref="Y488:Y552" si="83">POWER(W488, 1/4)</f>
        <v>407.14055227914452</v>
      </c>
      <c r="Z488" s="33">
        <v>0.8</v>
      </c>
      <c r="AA488" s="29">
        <f t="shared" ref="AA488:AA552" si="84">Y488*Z488</f>
        <v>325.71244182331566</v>
      </c>
      <c r="AB488" s="48">
        <f t="shared" ref="AB488:AB552" si="85">POWER(W488, 1/$AB$1)</f>
        <v>3017.5824729981969</v>
      </c>
      <c r="AC488" s="29">
        <v>271</v>
      </c>
      <c r="AD488" s="47">
        <f t="shared" ref="AD488:AD552" si="86">IF(AC488 = "", ,AC488/AB488)</f>
        <v>8.9806990339104456E-2</v>
      </c>
    </row>
    <row r="489" spans="1:30" x14ac:dyDescent="0.2">
      <c r="A489" s="30" t="s">
        <v>8848</v>
      </c>
      <c r="B489" s="29">
        <v>3</v>
      </c>
      <c r="C489" s="29">
        <v>3</v>
      </c>
      <c r="D489" s="29">
        <v>336</v>
      </c>
      <c r="E489" s="29">
        <v>1617</v>
      </c>
      <c r="F489" s="29">
        <v>6384</v>
      </c>
      <c r="G489" s="29">
        <v>1596</v>
      </c>
      <c r="H489" s="29">
        <v>31878</v>
      </c>
      <c r="I489" s="29">
        <v>2362</v>
      </c>
      <c r="J489" s="29">
        <v>42971544</v>
      </c>
      <c r="K489" s="29">
        <v>4493</v>
      </c>
      <c r="L489" s="29">
        <v>8978</v>
      </c>
      <c r="N489" s="34"/>
      <c r="O489" s="29">
        <f t="shared" si="77"/>
        <v>6735.5</v>
      </c>
      <c r="P489" s="32" cm="1">
        <f t="array" ref="P489">WPNFACTOR(C489)</f>
        <v>2.5</v>
      </c>
      <c r="Q489" s="34" cm="1">
        <f t="array" ref="Q489">HPFACTOr(C489)</f>
        <v>4</v>
      </c>
      <c r="R489" s="33">
        <f t="shared" si="78"/>
        <v>2694.2</v>
      </c>
      <c r="S489" s="34">
        <f t="shared" si="79"/>
        <v>10742886</v>
      </c>
      <c r="T489" s="33">
        <f t="shared" si="80"/>
        <v>2694.2</v>
      </c>
      <c r="U489" s="42">
        <f t="shared" si="81"/>
        <v>10742886</v>
      </c>
      <c r="V489" s="44"/>
      <c r="W489" s="29">
        <f t="shared" si="76"/>
        <v>28943483461.199997</v>
      </c>
      <c r="X489" s="41">
        <f t="shared" si="82"/>
        <v>34.752519515171826</v>
      </c>
      <c r="Y489" s="33">
        <f t="shared" si="83"/>
        <v>412.46556760746216</v>
      </c>
      <c r="Z489" s="33">
        <v>0.8</v>
      </c>
      <c r="AA489" s="29">
        <f t="shared" si="84"/>
        <v>329.97245408596973</v>
      </c>
      <c r="AB489" s="48">
        <f t="shared" si="85"/>
        <v>3070.3197034737864</v>
      </c>
      <c r="AC489" s="29">
        <v>272</v>
      </c>
      <c r="AD489" s="47">
        <f t="shared" si="86"/>
        <v>8.85901229413526E-2</v>
      </c>
    </row>
    <row r="490" spans="1:30" x14ac:dyDescent="0.2">
      <c r="A490" s="30" t="s">
        <v>8848</v>
      </c>
      <c r="B490" s="29">
        <v>4</v>
      </c>
      <c r="C490" s="29">
        <v>1</v>
      </c>
      <c r="D490" s="29">
        <v>338</v>
      </c>
      <c r="E490" s="29">
        <v>6426</v>
      </c>
      <c r="F490" s="29">
        <v>2242</v>
      </c>
      <c r="G490" s="29">
        <v>2190</v>
      </c>
      <c r="H490" s="29">
        <v>32126</v>
      </c>
      <c r="I490" s="29">
        <v>1669</v>
      </c>
      <c r="J490" s="29">
        <v>54453568</v>
      </c>
      <c r="K490" s="29">
        <v>3618</v>
      </c>
      <c r="L490" s="29">
        <v>7226</v>
      </c>
      <c r="N490" s="34"/>
      <c r="O490" s="29">
        <f t="shared" si="77"/>
        <v>5422</v>
      </c>
      <c r="P490" s="32" cm="1">
        <f t="array" ref="P490">WPNFACTOR(C490)</f>
        <v>2</v>
      </c>
      <c r="Q490" s="34" cm="1">
        <f t="array" ref="Q490">HPFACTOr(C490)</f>
        <v>5</v>
      </c>
      <c r="R490" s="33">
        <f t="shared" si="78"/>
        <v>2711</v>
      </c>
      <c r="S490" s="34">
        <f t="shared" si="79"/>
        <v>10890713.6</v>
      </c>
      <c r="T490" s="33">
        <f t="shared" si="80"/>
        <v>2711</v>
      </c>
      <c r="U490" s="42">
        <f t="shared" si="81"/>
        <v>10890713.6</v>
      </c>
      <c r="V490" s="44"/>
      <c r="W490" s="29">
        <f t="shared" si="76"/>
        <v>29524724569.599998</v>
      </c>
      <c r="X490" s="41">
        <f t="shared" si="82"/>
        <v>34.781204549938039</v>
      </c>
      <c r="Y490" s="33">
        <f t="shared" si="83"/>
        <v>414.52092987347066</v>
      </c>
      <c r="Z490" s="33">
        <v>0.8</v>
      </c>
      <c r="AA490" s="29">
        <f t="shared" si="84"/>
        <v>331.61674389877658</v>
      </c>
      <c r="AB490" s="48">
        <f t="shared" si="85"/>
        <v>3090.7362911192013</v>
      </c>
      <c r="AC490" s="29">
        <v>273</v>
      </c>
      <c r="AD490" s="47">
        <f t="shared" si="86"/>
        <v>8.8328467486672141E-2</v>
      </c>
    </row>
    <row r="491" spans="1:30" x14ac:dyDescent="0.2">
      <c r="A491" s="30" t="s">
        <v>8848</v>
      </c>
      <c r="B491" s="29">
        <v>5</v>
      </c>
      <c r="C491" s="29">
        <v>2</v>
      </c>
      <c r="D491" s="29">
        <v>340</v>
      </c>
      <c r="E491" s="29">
        <v>1597</v>
      </c>
      <c r="F491" s="29">
        <v>1638</v>
      </c>
      <c r="G491" s="29">
        <v>6636</v>
      </c>
      <c r="H491" s="29">
        <v>31537</v>
      </c>
      <c r="I491" s="29">
        <v>2386</v>
      </c>
      <c r="J491" s="29">
        <v>21508234</v>
      </c>
      <c r="K491" s="29">
        <v>8187</v>
      </c>
      <c r="L491" s="29">
        <v>16361</v>
      </c>
      <c r="N491" s="34"/>
      <c r="O491" s="29">
        <f t="shared" si="77"/>
        <v>12274</v>
      </c>
      <c r="P491" s="32" cm="1">
        <f t="array" ref="P491">WPNFACTOR(C491)</f>
        <v>4.5</v>
      </c>
      <c r="Q491" s="34" cm="1">
        <f t="array" ref="Q491">HPFACTOr(C491)</f>
        <v>2</v>
      </c>
      <c r="R491" s="33">
        <f t="shared" si="78"/>
        <v>2727.5555555555557</v>
      </c>
      <c r="S491" s="34">
        <f t="shared" si="79"/>
        <v>10754117</v>
      </c>
      <c r="T491" s="33">
        <f t="shared" si="80"/>
        <v>2727.5555555555557</v>
      </c>
      <c r="U491" s="42">
        <f t="shared" si="81"/>
        <v>10754116.999999998</v>
      </c>
      <c r="V491" s="44"/>
      <c r="W491" s="29">
        <f t="shared" si="76"/>
        <v>29332451568.444439</v>
      </c>
      <c r="X491" s="41">
        <f t="shared" si="82"/>
        <v>34.771778603597191</v>
      </c>
      <c r="Y491" s="33">
        <f t="shared" si="83"/>
        <v>413.84440735294254</v>
      </c>
      <c r="Z491" s="33">
        <v>0.8</v>
      </c>
      <c r="AA491" s="29">
        <f t="shared" si="84"/>
        <v>331.07552588235404</v>
      </c>
      <c r="AB491" s="48">
        <f t="shared" si="85"/>
        <v>3084.012436859914</v>
      </c>
      <c r="AC491" s="29">
        <v>273</v>
      </c>
      <c r="AD491" s="47">
        <f t="shared" si="86"/>
        <v>8.8521043799020371E-2</v>
      </c>
    </row>
    <row r="492" spans="1:30" x14ac:dyDescent="0.2">
      <c r="A492" s="30" t="s">
        <v>8848</v>
      </c>
      <c r="B492" s="29">
        <v>6</v>
      </c>
      <c r="C492" s="29">
        <v>1</v>
      </c>
      <c r="D492" s="29">
        <v>342</v>
      </c>
      <c r="E492" s="29">
        <v>6525</v>
      </c>
      <c r="F492" s="29">
        <v>2289</v>
      </c>
      <c r="G492" s="29">
        <v>2240</v>
      </c>
      <c r="H492" s="29">
        <v>32862</v>
      </c>
      <c r="I492" s="29">
        <v>1690</v>
      </c>
      <c r="J492" s="29">
        <v>56358328</v>
      </c>
      <c r="K492" s="29">
        <v>3659</v>
      </c>
      <c r="L492" s="29">
        <v>7313</v>
      </c>
      <c r="N492" s="34"/>
      <c r="O492" s="29">
        <f t="shared" si="77"/>
        <v>5486</v>
      </c>
      <c r="P492" s="32" cm="1">
        <f t="array" ref="P492">WPNFACTOR(C492)</f>
        <v>2</v>
      </c>
      <c r="Q492" s="34" cm="1">
        <f t="array" ref="Q492">HPFACTOr(C492)</f>
        <v>5</v>
      </c>
      <c r="R492" s="33">
        <f t="shared" si="78"/>
        <v>2743</v>
      </c>
      <c r="S492" s="34">
        <f t="shared" si="79"/>
        <v>11271665.6</v>
      </c>
      <c r="T492" s="33">
        <f t="shared" si="80"/>
        <v>2743</v>
      </c>
      <c r="U492" s="42">
        <f t="shared" si="81"/>
        <v>11271665.6</v>
      </c>
      <c r="V492" s="44"/>
      <c r="W492" s="29">
        <f t="shared" si="76"/>
        <v>30918178740.799999</v>
      </c>
      <c r="X492" s="41">
        <f t="shared" si="82"/>
        <v>34.847736287573561</v>
      </c>
      <c r="Y492" s="33">
        <f t="shared" si="83"/>
        <v>419.32762648231892</v>
      </c>
      <c r="Z492" s="33">
        <v>0.8</v>
      </c>
      <c r="AA492" s="29">
        <f t="shared" si="84"/>
        <v>335.46210118585515</v>
      </c>
      <c r="AB492" s="48">
        <f t="shared" si="85"/>
        <v>3138.6144353064569</v>
      </c>
      <c r="AC492" s="29">
        <v>274</v>
      </c>
      <c r="AD492" s="47">
        <f t="shared" si="86"/>
        <v>8.7299668579153278E-2</v>
      </c>
    </row>
    <row r="493" spans="1:30" x14ac:dyDescent="0.2">
      <c r="A493" s="30" t="s">
        <v>8848</v>
      </c>
      <c r="B493" s="29">
        <v>7</v>
      </c>
      <c r="C493" s="29">
        <v>3</v>
      </c>
      <c r="D493" s="29">
        <v>344</v>
      </c>
      <c r="E493" s="29">
        <v>1661</v>
      </c>
      <c r="F493" s="29">
        <v>6567</v>
      </c>
      <c r="G493" s="29">
        <v>1641</v>
      </c>
      <c r="H493" s="29">
        <v>33110</v>
      </c>
      <c r="I493" s="29">
        <v>2433</v>
      </c>
      <c r="J493" s="29">
        <v>45691800</v>
      </c>
      <c r="K493" s="29">
        <v>4600</v>
      </c>
      <c r="L493" s="29">
        <v>9187</v>
      </c>
      <c r="N493" s="34"/>
      <c r="O493" s="29">
        <f t="shared" si="77"/>
        <v>6893.5</v>
      </c>
      <c r="P493" s="32" cm="1">
        <f t="array" ref="P493">WPNFACTOR(C493)</f>
        <v>2.5</v>
      </c>
      <c r="Q493" s="34" cm="1">
        <f t="array" ref="Q493">HPFACTOr(C493)</f>
        <v>4</v>
      </c>
      <c r="R493" s="33">
        <f t="shared" si="78"/>
        <v>2757.4</v>
      </c>
      <c r="S493" s="34">
        <f t="shared" si="79"/>
        <v>11422950</v>
      </c>
      <c r="T493" s="33">
        <f t="shared" si="80"/>
        <v>2757.4</v>
      </c>
      <c r="U493" s="42">
        <f t="shared" si="81"/>
        <v>11422950</v>
      </c>
      <c r="V493" s="44"/>
      <c r="W493" s="29">
        <f t="shared" si="76"/>
        <v>31497642330</v>
      </c>
      <c r="X493" s="41">
        <f t="shared" si="82"/>
        <v>34.874524792530146</v>
      </c>
      <c r="Y493" s="33">
        <f t="shared" si="83"/>
        <v>421.27870986548669</v>
      </c>
      <c r="Z493" s="33">
        <v>0.8</v>
      </c>
      <c r="AA493" s="29">
        <f t="shared" si="84"/>
        <v>337.02296789238937</v>
      </c>
      <c r="AB493" s="48">
        <f t="shared" si="85"/>
        <v>3158.1010037854176</v>
      </c>
      <c r="AC493" s="29">
        <v>277</v>
      </c>
      <c r="AD493" s="47">
        <f t="shared" si="86"/>
        <v>8.7710937575453563E-2</v>
      </c>
    </row>
    <row r="494" spans="1:30" x14ac:dyDescent="0.2">
      <c r="A494" s="30" t="s">
        <v>8848</v>
      </c>
      <c r="B494" s="29">
        <v>8</v>
      </c>
      <c r="C494" s="29">
        <v>3</v>
      </c>
      <c r="D494" s="29">
        <v>346</v>
      </c>
      <c r="E494" s="29">
        <v>1671</v>
      </c>
      <c r="F494" s="29">
        <v>6608</v>
      </c>
      <c r="G494" s="29">
        <v>1652</v>
      </c>
      <c r="H494" s="29">
        <v>33352</v>
      </c>
      <c r="I494" s="29">
        <v>2449</v>
      </c>
      <c r="J494" s="29">
        <v>46292576</v>
      </c>
      <c r="K494" s="29">
        <v>4636</v>
      </c>
      <c r="L494" s="29">
        <v>9250</v>
      </c>
      <c r="N494" s="34"/>
      <c r="O494" s="29">
        <f t="shared" si="77"/>
        <v>6943</v>
      </c>
      <c r="P494" s="32" cm="1">
        <f t="array" ref="P494">WPNFACTOR(C494)</f>
        <v>2.5</v>
      </c>
      <c r="Q494" s="34" cm="1">
        <f t="array" ref="Q494">HPFACTOr(C494)</f>
        <v>4</v>
      </c>
      <c r="R494" s="33">
        <f t="shared" si="78"/>
        <v>2777.2</v>
      </c>
      <c r="S494" s="34">
        <f t="shared" si="79"/>
        <v>11573144</v>
      </c>
      <c r="T494" s="33">
        <f t="shared" si="80"/>
        <v>2777.2</v>
      </c>
      <c r="U494" s="42">
        <f t="shared" si="81"/>
        <v>11573144</v>
      </c>
      <c r="V494" s="44"/>
      <c r="W494" s="29">
        <f t="shared" si="76"/>
        <v>32140935516.799999</v>
      </c>
      <c r="X494" s="41">
        <f t="shared" si="82"/>
        <v>34.90369287059994</v>
      </c>
      <c r="Y494" s="33">
        <f t="shared" si="83"/>
        <v>423.41342935838986</v>
      </c>
      <c r="Z494" s="33">
        <v>0.8</v>
      </c>
      <c r="AA494" s="29">
        <f t="shared" si="84"/>
        <v>338.7307434867119</v>
      </c>
      <c r="AB494" s="48">
        <f t="shared" si="85"/>
        <v>3179.4561362006034</v>
      </c>
      <c r="AC494" s="29">
        <v>278</v>
      </c>
      <c r="AD494" s="47">
        <f t="shared" si="86"/>
        <v>8.7436337565645839E-2</v>
      </c>
    </row>
    <row r="495" spans="1:30" x14ac:dyDescent="0.2">
      <c r="A495" s="30" t="s">
        <v>8848</v>
      </c>
      <c r="B495" s="29">
        <v>9</v>
      </c>
      <c r="C495" s="29">
        <v>2</v>
      </c>
      <c r="D495" s="29">
        <v>348</v>
      </c>
      <c r="E495" s="29">
        <v>1648</v>
      </c>
      <c r="F495" s="29">
        <v>1685</v>
      </c>
      <c r="G495" s="29">
        <v>6813</v>
      </c>
      <c r="H495" s="29">
        <v>33038</v>
      </c>
      <c r="I495" s="29">
        <v>2454</v>
      </c>
      <c r="J495" s="29">
        <v>23060524</v>
      </c>
      <c r="K495" s="29">
        <v>8377</v>
      </c>
      <c r="L495" s="29">
        <v>16743</v>
      </c>
      <c r="N495" s="34"/>
      <c r="O495" s="29">
        <f t="shared" si="77"/>
        <v>12560</v>
      </c>
      <c r="P495" s="32" cm="1">
        <f t="array" ref="P495">WPNFACTOR(C495)</f>
        <v>4.5</v>
      </c>
      <c r="Q495" s="34" cm="1">
        <f t="array" ref="Q495">HPFACTOr(C495)</f>
        <v>2</v>
      </c>
      <c r="R495" s="33">
        <f t="shared" si="78"/>
        <v>2791.1111111111113</v>
      </c>
      <c r="S495" s="34">
        <f t="shared" si="79"/>
        <v>11530262</v>
      </c>
      <c r="T495" s="33">
        <f t="shared" si="80"/>
        <v>2791.1111111111113</v>
      </c>
      <c r="U495" s="42">
        <f t="shared" si="81"/>
        <v>11530261.999999998</v>
      </c>
      <c r="V495" s="44"/>
      <c r="W495" s="29">
        <f t="shared" si="76"/>
        <v>32182242382.222218</v>
      </c>
      <c r="X495" s="41">
        <f t="shared" si="82"/>
        <v>34.905545802001576</v>
      </c>
      <c r="Y495" s="33">
        <f t="shared" si="83"/>
        <v>423.54940438886325</v>
      </c>
      <c r="Z495" s="33">
        <v>0.8</v>
      </c>
      <c r="AA495" s="29">
        <f t="shared" si="84"/>
        <v>338.83952351109065</v>
      </c>
      <c r="AB495" s="48">
        <f t="shared" si="85"/>
        <v>3180.8176102051211</v>
      </c>
      <c r="AC495" s="29">
        <v>279</v>
      </c>
      <c r="AD495" s="47">
        <f t="shared" si="86"/>
        <v>8.7713297079617253E-2</v>
      </c>
    </row>
    <row r="496" spans="1:30" x14ac:dyDescent="0.2">
      <c r="A496" s="30" t="s">
        <v>8848</v>
      </c>
      <c r="B496" s="29">
        <v>10</v>
      </c>
      <c r="C496" s="29">
        <v>2</v>
      </c>
      <c r="D496" s="29">
        <v>348</v>
      </c>
      <c r="E496" s="29">
        <v>1648</v>
      </c>
      <c r="F496" s="29">
        <v>1685</v>
      </c>
      <c r="G496" s="29">
        <v>6813</v>
      </c>
      <c r="H496" s="29">
        <v>33038</v>
      </c>
      <c r="I496" s="29">
        <v>2454</v>
      </c>
      <c r="J496" s="29">
        <v>23060524</v>
      </c>
      <c r="K496" s="29">
        <v>8377</v>
      </c>
      <c r="L496" s="29">
        <v>16743</v>
      </c>
      <c r="N496" s="34"/>
      <c r="O496" s="29">
        <f t="shared" ref="O496" si="87">AVERAGE(K496, L496)</f>
        <v>12560</v>
      </c>
      <c r="P496" s="32" cm="1">
        <f t="array" ref="P496">WPNFACTOR(C496)</f>
        <v>4.5</v>
      </c>
      <c r="Q496" s="34" cm="1">
        <f t="array" ref="Q496">HPFACTOr(C496)</f>
        <v>2</v>
      </c>
      <c r="R496" s="33">
        <f t="shared" ref="R496" si="88">O496/P496</f>
        <v>2791.1111111111113</v>
      </c>
      <c r="S496" s="34">
        <f t="shared" ref="S496" si="89">J496/Q496</f>
        <v>11530262</v>
      </c>
      <c r="T496" s="33">
        <f t="shared" ref="T496" si="90">R496*(1 + (N496/400))</f>
        <v>2791.1111111111113</v>
      </c>
      <c r="U496" s="42">
        <f t="shared" ref="U496" si="91">S496*1.6/(1 + (0.6*(1 - (M496/100))))</f>
        <v>11530261.999999998</v>
      </c>
      <c r="V496" s="44"/>
      <c r="W496" s="29">
        <f t="shared" ref="W496" si="92">T496*U496</f>
        <v>32182242382.222218</v>
      </c>
      <c r="X496" s="41">
        <f t="shared" si="82"/>
        <v>34.905545802001576</v>
      </c>
      <c r="Y496" s="33">
        <f t="shared" ref="Y496" si="93">POWER(W496, 1/4)</f>
        <v>423.54940438886325</v>
      </c>
      <c r="Z496" s="33">
        <v>0.8</v>
      </c>
      <c r="AA496" s="29">
        <f t="shared" ref="AA496" si="94">Y496*Z496</f>
        <v>338.83952351109065</v>
      </c>
      <c r="AB496" s="48">
        <f t="shared" ref="AB496" si="95">POWER(W496, 1/$AB$1)</f>
        <v>3180.8176102051211</v>
      </c>
      <c r="AC496" s="29">
        <v>279</v>
      </c>
      <c r="AD496" s="47">
        <f t="shared" ref="AD496" si="96">IF(AC496 = "", ,AC496/AB496)</f>
        <v>8.7713297079617253E-2</v>
      </c>
    </row>
    <row r="497" spans="1:30" x14ac:dyDescent="0.2">
      <c r="A497" s="30" t="s">
        <v>8849</v>
      </c>
      <c r="B497" s="29">
        <v>1</v>
      </c>
      <c r="C497" s="29">
        <v>3</v>
      </c>
      <c r="D497" s="29">
        <v>352</v>
      </c>
      <c r="E497" s="29">
        <v>1708</v>
      </c>
      <c r="F497" s="29">
        <v>6765</v>
      </c>
      <c r="G497" s="29">
        <v>1691</v>
      </c>
      <c r="H497" s="29">
        <v>34562</v>
      </c>
      <c r="I497" s="29">
        <v>2489</v>
      </c>
      <c r="J497" s="29">
        <v>48801544</v>
      </c>
      <c r="K497" s="29">
        <v>4747</v>
      </c>
      <c r="L497" s="29">
        <v>9412</v>
      </c>
      <c r="N497" s="34"/>
      <c r="O497" s="29">
        <f t="shared" si="77"/>
        <v>7079.5</v>
      </c>
      <c r="P497" s="32" cm="1">
        <f t="array" ref="P497">WPNFACTOR(C497)</f>
        <v>2.5</v>
      </c>
      <c r="Q497" s="34" cm="1">
        <f t="array" ref="Q497">HPFACTOr(C497)</f>
        <v>4</v>
      </c>
      <c r="R497" s="33">
        <f t="shared" si="78"/>
        <v>2831.8</v>
      </c>
      <c r="S497" s="34">
        <f t="shared" si="79"/>
        <v>12200386</v>
      </c>
      <c r="T497" s="33">
        <f t="shared" si="80"/>
        <v>2831.8</v>
      </c>
      <c r="U497" s="42">
        <f t="shared" si="81"/>
        <v>12200386</v>
      </c>
      <c r="V497" s="44"/>
      <c r="W497" s="29">
        <f t="shared" si="76"/>
        <v>34549053074.800003</v>
      </c>
      <c r="X497" s="41">
        <f t="shared" si="82"/>
        <v>35.007927118444861</v>
      </c>
      <c r="Y497" s="33">
        <f t="shared" si="83"/>
        <v>431.13078728516871</v>
      </c>
      <c r="Z497" s="33">
        <v>0.8</v>
      </c>
      <c r="AA497" s="29">
        <f t="shared" si="84"/>
        <v>344.904629828135</v>
      </c>
      <c r="AB497" s="48">
        <f t="shared" si="85"/>
        <v>3256.9571854632595</v>
      </c>
      <c r="AC497" s="29">
        <v>282</v>
      </c>
      <c r="AD497" s="47">
        <f t="shared" si="86"/>
        <v>8.6583883036180961E-2</v>
      </c>
    </row>
    <row r="498" spans="1:30" x14ac:dyDescent="0.2">
      <c r="A498" s="30" t="s">
        <v>8849</v>
      </c>
      <c r="B498" s="29">
        <v>2</v>
      </c>
      <c r="C498" s="29">
        <v>1</v>
      </c>
      <c r="D498" s="29">
        <v>354</v>
      </c>
      <c r="E498" s="29">
        <v>6810</v>
      </c>
      <c r="F498" s="29">
        <v>2393</v>
      </c>
      <c r="G498" s="29">
        <v>2351</v>
      </c>
      <c r="H498" s="29">
        <v>34859</v>
      </c>
      <c r="I498" s="29">
        <v>1702</v>
      </c>
      <c r="J498" s="29">
        <v>61874724</v>
      </c>
      <c r="K498" s="29">
        <v>3793</v>
      </c>
      <c r="L498" s="29">
        <v>7572</v>
      </c>
      <c r="N498" s="34"/>
      <c r="O498" s="29">
        <f t="shared" si="77"/>
        <v>5682.5</v>
      </c>
      <c r="P498" s="32" cm="1">
        <f t="array" ref="P498">WPNFACTOR(C498)</f>
        <v>2</v>
      </c>
      <c r="Q498" s="34" cm="1">
        <f t="array" ref="Q498">HPFACTOr(C498)</f>
        <v>5</v>
      </c>
      <c r="R498" s="33">
        <f t="shared" si="78"/>
        <v>2841.25</v>
      </c>
      <c r="S498" s="34">
        <f t="shared" si="79"/>
        <v>12374944.800000001</v>
      </c>
      <c r="T498" s="33">
        <f t="shared" si="80"/>
        <v>2841.25</v>
      </c>
      <c r="U498" s="42">
        <f t="shared" si="81"/>
        <v>12374944.800000001</v>
      </c>
      <c r="V498" s="44"/>
      <c r="W498" s="29">
        <f t="shared" si="76"/>
        <v>35160311913</v>
      </c>
      <c r="X498" s="41">
        <f t="shared" si="82"/>
        <v>35.033228817800399</v>
      </c>
      <c r="Y498" s="33">
        <f t="shared" si="83"/>
        <v>433.02520879868592</v>
      </c>
      <c r="Z498" s="33">
        <v>0.8</v>
      </c>
      <c r="AA498" s="29">
        <f t="shared" si="84"/>
        <v>346.42016703894876</v>
      </c>
      <c r="AB498" s="48">
        <f t="shared" si="85"/>
        <v>3276.0529035147315</v>
      </c>
      <c r="AC498" s="29">
        <v>284</v>
      </c>
      <c r="AD498" s="47">
        <f t="shared" si="86"/>
        <v>8.6689686755457768E-2</v>
      </c>
    </row>
    <row r="499" spans="1:30" x14ac:dyDescent="0.2">
      <c r="A499" s="30" t="s">
        <v>8849</v>
      </c>
      <c r="B499" s="29">
        <v>3</v>
      </c>
      <c r="C499" s="29">
        <v>1</v>
      </c>
      <c r="D499" s="29">
        <v>356</v>
      </c>
      <c r="E499" s="29">
        <v>6855</v>
      </c>
      <c r="F499" s="29">
        <v>2409</v>
      </c>
      <c r="G499" s="29">
        <v>2367</v>
      </c>
      <c r="H499" s="29">
        <v>35150</v>
      </c>
      <c r="I499" s="29">
        <v>1705</v>
      </c>
      <c r="J499" s="29">
        <v>62742752</v>
      </c>
      <c r="K499" s="29">
        <v>3845</v>
      </c>
      <c r="L499" s="29">
        <v>7615</v>
      </c>
      <c r="N499" s="34"/>
      <c r="O499" s="29">
        <f t="shared" si="77"/>
        <v>5730</v>
      </c>
      <c r="P499" s="32" cm="1">
        <f t="array" ref="P499">WPNFACTOR(C499)</f>
        <v>2</v>
      </c>
      <c r="Q499" s="34" cm="1">
        <f t="array" ref="Q499">HPFACTOr(C499)</f>
        <v>5</v>
      </c>
      <c r="R499" s="33">
        <f t="shared" si="78"/>
        <v>2865</v>
      </c>
      <c r="S499" s="34">
        <f t="shared" si="79"/>
        <v>12548550.4</v>
      </c>
      <c r="T499" s="33">
        <f t="shared" si="80"/>
        <v>2865</v>
      </c>
      <c r="U499" s="42">
        <f t="shared" si="81"/>
        <v>12548550.4</v>
      </c>
      <c r="V499" s="44"/>
      <c r="W499" s="29">
        <f t="shared" si="76"/>
        <v>35951596896</v>
      </c>
      <c r="X499" s="41">
        <f t="shared" si="82"/>
        <v>35.065336802508249</v>
      </c>
      <c r="Y499" s="33">
        <f t="shared" si="83"/>
        <v>435.44122832786451</v>
      </c>
      <c r="Z499" s="33">
        <v>0.8</v>
      </c>
      <c r="AA499" s="29">
        <f t="shared" si="84"/>
        <v>348.35298266229165</v>
      </c>
      <c r="AB499" s="48">
        <f t="shared" si="85"/>
        <v>3300.4467376835837</v>
      </c>
      <c r="AC499" s="29">
        <v>285</v>
      </c>
      <c r="AD499" s="47">
        <f t="shared" si="86"/>
        <v>8.6351946464079912E-2</v>
      </c>
    </row>
    <row r="500" spans="1:30" x14ac:dyDescent="0.2">
      <c r="A500" s="30" t="s">
        <v>8849</v>
      </c>
      <c r="B500" s="29">
        <v>4</v>
      </c>
      <c r="C500" s="29">
        <v>1</v>
      </c>
      <c r="D500" s="29">
        <v>358</v>
      </c>
      <c r="E500" s="29">
        <v>6899</v>
      </c>
      <c r="F500" s="29">
        <v>2424</v>
      </c>
      <c r="G500" s="29">
        <v>2383</v>
      </c>
      <c r="H500" s="29">
        <v>35442</v>
      </c>
      <c r="I500" s="29">
        <v>1708</v>
      </c>
      <c r="J500" s="29">
        <v>63618392</v>
      </c>
      <c r="K500" s="29">
        <v>3829</v>
      </c>
      <c r="L500" s="29">
        <v>7653</v>
      </c>
      <c r="N500" s="34"/>
      <c r="O500" s="29">
        <f t="shared" si="77"/>
        <v>5741</v>
      </c>
      <c r="P500" s="32" cm="1">
        <f t="array" ref="P500">WPNFACTOR(C500)</f>
        <v>2</v>
      </c>
      <c r="Q500" s="34" cm="1">
        <f t="array" ref="Q500">HPFACTOr(C500)</f>
        <v>5</v>
      </c>
      <c r="R500" s="33">
        <f t="shared" si="78"/>
        <v>2870.5</v>
      </c>
      <c r="S500" s="34">
        <f t="shared" si="79"/>
        <v>12723678.4</v>
      </c>
      <c r="T500" s="33">
        <f t="shared" si="80"/>
        <v>2870.5</v>
      </c>
      <c r="U500" s="42">
        <f t="shared" si="81"/>
        <v>12723678.4</v>
      </c>
      <c r="V500" s="44"/>
      <c r="W500" s="29">
        <f t="shared" si="76"/>
        <v>36523318847.200005</v>
      </c>
      <c r="X500" s="41">
        <f t="shared" si="82"/>
        <v>35.088098816792844</v>
      </c>
      <c r="Y500" s="33">
        <f t="shared" si="83"/>
        <v>437.16215551393174</v>
      </c>
      <c r="Z500" s="33">
        <v>0.8</v>
      </c>
      <c r="AA500" s="29">
        <f t="shared" si="84"/>
        <v>349.72972441114541</v>
      </c>
      <c r="AB500" s="48">
        <f t="shared" si="85"/>
        <v>3317.8499787138599</v>
      </c>
      <c r="AD500" s="47">
        <f t="shared" si="86"/>
        <v>0</v>
      </c>
    </row>
    <row r="501" spans="1:30" x14ac:dyDescent="0.2">
      <c r="A501" s="30" t="s">
        <v>8849</v>
      </c>
      <c r="B501" s="29">
        <v>5</v>
      </c>
      <c r="C501" s="29">
        <v>3</v>
      </c>
      <c r="D501" s="29">
        <v>360</v>
      </c>
      <c r="E501" s="29">
        <v>1752</v>
      </c>
      <c r="F501" s="29">
        <v>6944</v>
      </c>
      <c r="G501" s="29">
        <v>1736</v>
      </c>
      <c r="H501" s="29">
        <v>35728</v>
      </c>
      <c r="I501" s="29">
        <v>2544</v>
      </c>
      <c r="J501" s="29">
        <v>51591232</v>
      </c>
      <c r="K501" s="29">
        <v>4813</v>
      </c>
      <c r="L501" s="29">
        <v>9626</v>
      </c>
      <c r="N501" s="34"/>
      <c r="O501" s="29">
        <f t="shared" si="77"/>
        <v>7219.5</v>
      </c>
      <c r="P501" s="32" cm="1">
        <f t="array" ref="P501">WPNFACTOR(C501)</f>
        <v>2.5</v>
      </c>
      <c r="Q501" s="34" cm="1">
        <f t="array" ref="Q501">HPFACTOr(C501)</f>
        <v>4</v>
      </c>
      <c r="R501" s="33">
        <f t="shared" si="78"/>
        <v>2887.8</v>
      </c>
      <c r="S501" s="34">
        <f t="shared" si="79"/>
        <v>12897808</v>
      </c>
      <c r="T501" s="33">
        <f t="shared" si="80"/>
        <v>2887.8</v>
      </c>
      <c r="U501" s="42">
        <f t="shared" si="81"/>
        <v>12897808</v>
      </c>
      <c r="V501" s="44"/>
      <c r="W501" s="29">
        <f t="shared" si="76"/>
        <v>37246289942.400002</v>
      </c>
      <c r="X501" s="41">
        <f t="shared" si="82"/>
        <v>35.116377676508314</v>
      </c>
      <c r="Y501" s="33">
        <f t="shared" si="83"/>
        <v>439.30966185332488</v>
      </c>
      <c r="Z501" s="33">
        <v>0.8</v>
      </c>
      <c r="AA501" s="29">
        <f t="shared" si="84"/>
        <v>351.44772948265995</v>
      </c>
      <c r="AB501" s="48">
        <f t="shared" si="85"/>
        <v>3339.5991350330232</v>
      </c>
      <c r="AD501" s="47">
        <f t="shared" si="86"/>
        <v>0</v>
      </c>
    </row>
    <row r="502" spans="1:30" x14ac:dyDescent="0.2">
      <c r="A502" s="30" t="s">
        <v>8849</v>
      </c>
      <c r="B502" s="29">
        <v>6</v>
      </c>
      <c r="C502" s="29">
        <v>3</v>
      </c>
      <c r="D502" s="29">
        <v>362</v>
      </c>
      <c r="E502" s="29">
        <v>1762</v>
      </c>
      <c r="F502" s="29">
        <v>6988</v>
      </c>
      <c r="G502" s="29">
        <v>1747</v>
      </c>
      <c r="H502" s="29">
        <v>36008</v>
      </c>
      <c r="I502" s="29">
        <v>2557</v>
      </c>
      <c r="J502" s="29">
        <v>52283616</v>
      </c>
      <c r="K502" s="29">
        <v>4847</v>
      </c>
      <c r="L502" s="29">
        <v>9672</v>
      </c>
      <c r="N502" s="34"/>
      <c r="O502" s="29">
        <f t="shared" si="77"/>
        <v>7259.5</v>
      </c>
      <c r="P502" s="32" cm="1">
        <f t="array" ref="P502">WPNFACTOR(C502)</f>
        <v>2.5</v>
      </c>
      <c r="Q502" s="34" cm="1">
        <f t="array" ref="Q502">HPFACTOr(C502)</f>
        <v>4</v>
      </c>
      <c r="R502" s="33">
        <f t="shared" si="78"/>
        <v>2903.8</v>
      </c>
      <c r="S502" s="34">
        <f t="shared" si="79"/>
        <v>13070904</v>
      </c>
      <c r="T502" s="33">
        <f t="shared" si="80"/>
        <v>2903.8</v>
      </c>
      <c r="U502" s="42">
        <f t="shared" si="81"/>
        <v>13070904</v>
      </c>
      <c r="V502" s="44"/>
      <c r="W502" s="29">
        <f t="shared" si="76"/>
        <v>37955291035.200005</v>
      </c>
      <c r="X502" s="41">
        <f t="shared" si="82"/>
        <v>35.143581962792844</v>
      </c>
      <c r="Y502" s="33">
        <f t="shared" si="83"/>
        <v>441.38551977910049</v>
      </c>
      <c r="Z502" s="33">
        <v>0.8</v>
      </c>
      <c r="AA502" s="29">
        <f t="shared" si="84"/>
        <v>353.10841582328044</v>
      </c>
      <c r="AB502" s="48">
        <f t="shared" si="85"/>
        <v>3360.6563767286339</v>
      </c>
      <c r="AD502" s="47">
        <f t="shared" si="86"/>
        <v>0</v>
      </c>
    </row>
    <row r="503" spans="1:30" x14ac:dyDescent="0.2">
      <c r="A503" s="30" t="s">
        <v>8849</v>
      </c>
      <c r="B503" s="29">
        <v>7</v>
      </c>
      <c r="C503" s="29">
        <v>2</v>
      </c>
      <c r="D503" s="29">
        <v>364</v>
      </c>
      <c r="E503" s="29">
        <v>1742</v>
      </c>
      <c r="F503" s="29">
        <v>1773</v>
      </c>
      <c r="G503" s="29">
        <v>7156</v>
      </c>
      <c r="H503" s="29">
        <v>35607</v>
      </c>
      <c r="I503" s="29">
        <v>2563</v>
      </c>
      <c r="J503" s="29">
        <v>25993110</v>
      </c>
      <c r="K503" s="29">
        <v>9198</v>
      </c>
      <c r="L503" s="29">
        <v>17512</v>
      </c>
      <c r="N503" s="34"/>
      <c r="O503" s="29">
        <f t="shared" si="77"/>
        <v>13355</v>
      </c>
      <c r="P503" s="32" cm="1">
        <f t="array" ref="P503">WPNFACTOR(C503)</f>
        <v>4.5</v>
      </c>
      <c r="Q503" s="34" cm="1">
        <f t="array" ref="Q503">HPFACTOr(C503)</f>
        <v>2</v>
      </c>
      <c r="R503" s="33">
        <f t="shared" si="78"/>
        <v>2967.7777777777778</v>
      </c>
      <c r="S503" s="34">
        <f t="shared" si="79"/>
        <v>12996555</v>
      </c>
      <c r="T503" s="33">
        <f t="shared" si="80"/>
        <v>2967.7777777777778</v>
      </c>
      <c r="U503" s="42">
        <f t="shared" si="81"/>
        <v>12996555</v>
      </c>
      <c r="V503" s="44"/>
      <c r="W503" s="29">
        <f t="shared" si="76"/>
        <v>38570887116.666664</v>
      </c>
      <c r="X503" s="41">
        <f t="shared" si="82"/>
        <v>35.166793276694015</v>
      </c>
      <c r="Y503" s="33">
        <f t="shared" si="83"/>
        <v>443.16444208804086</v>
      </c>
      <c r="Z503" s="33">
        <v>0.8</v>
      </c>
      <c r="AA503" s="29">
        <f t="shared" si="84"/>
        <v>354.53155367043269</v>
      </c>
      <c r="AB503" s="48">
        <f t="shared" si="85"/>
        <v>3378.7278313088937</v>
      </c>
      <c r="AD503" s="47">
        <f t="shared" si="86"/>
        <v>0</v>
      </c>
    </row>
    <row r="504" spans="1:30" x14ac:dyDescent="0.2">
      <c r="A504" s="30" t="s">
        <v>8849</v>
      </c>
      <c r="B504" s="29">
        <v>8</v>
      </c>
      <c r="C504" s="29">
        <v>1</v>
      </c>
      <c r="D504" s="29">
        <v>366</v>
      </c>
      <c r="E504" s="29">
        <v>7076</v>
      </c>
      <c r="F504" s="29">
        <v>2485</v>
      </c>
      <c r="G504" s="29">
        <v>2447</v>
      </c>
      <c r="H504" s="29">
        <v>36570</v>
      </c>
      <c r="I504" s="29">
        <v>1723</v>
      </c>
      <c r="J504" s="29">
        <v>67105952</v>
      </c>
      <c r="K504" s="29">
        <v>3916</v>
      </c>
      <c r="L504" s="29">
        <v>7591</v>
      </c>
      <c r="N504" s="34"/>
      <c r="O504" s="29">
        <f t="shared" si="77"/>
        <v>5753.5</v>
      </c>
      <c r="P504" s="32" cm="1">
        <f t="array" ref="P504">WPNFACTOR(C504)</f>
        <v>2</v>
      </c>
      <c r="Q504" s="34" cm="1">
        <f t="array" ref="Q504">HPFACTOr(C504)</f>
        <v>5</v>
      </c>
      <c r="R504" s="33">
        <f t="shared" si="78"/>
        <v>2876.75</v>
      </c>
      <c r="S504" s="34">
        <f t="shared" si="79"/>
        <v>13421190.4</v>
      </c>
      <c r="T504" s="33">
        <f t="shared" si="80"/>
        <v>2876.75</v>
      </c>
      <c r="U504" s="42">
        <f t="shared" si="81"/>
        <v>13421190.4</v>
      </c>
      <c r="V504" s="44"/>
      <c r="W504" s="29">
        <f t="shared" si="76"/>
        <v>38609409483.200005</v>
      </c>
      <c r="X504" s="41">
        <f t="shared" si="82"/>
        <v>35.168233437829031</v>
      </c>
      <c r="Y504" s="33">
        <f t="shared" si="83"/>
        <v>443.27505240984414</v>
      </c>
      <c r="Z504" s="33">
        <v>0.8</v>
      </c>
      <c r="AA504" s="29">
        <f t="shared" si="84"/>
        <v>354.62004192787532</v>
      </c>
      <c r="AB504" s="48">
        <f t="shared" si="85"/>
        <v>3379.85228288998</v>
      </c>
      <c r="AD504" s="47">
        <f t="shared" si="86"/>
        <v>0</v>
      </c>
    </row>
    <row r="505" spans="1:30" x14ac:dyDescent="0.2">
      <c r="A505" s="30" t="s">
        <v>8849</v>
      </c>
      <c r="B505" s="29">
        <v>9</v>
      </c>
      <c r="C505" s="29">
        <v>1</v>
      </c>
      <c r="D505" s="29">
        <v>368</v>
      </c>
      <c r="E505" s="29">
        <v>7119</v>
      </c>
      <c r="F505" s="29">
        <v>2500</v>
      </c>
      <c r="G505" s="29">
        <v>2463</v>
      </c>
      <c r="H505" s="29">
        <v>36844</v>
      </c>
      <c r="I505" s="29">
        <v>1727</v>
      </c>
      <c r="J505" s="29">
        <v>67977184</v>
      </c>
      <c r="K505" s="29">
        <v>3952</v>
      </c>
      <c r="L505" s="29">
        <v>7833</v>
      </c>
      <c r="N505" s="34"/>
      <c r="O505" s="29">
        <f t="shared" si="77"/>
        <v>5892.5</v>
      </c>
      <c r="P505" s="32" cm="1">
        <f t="array" ref="P505">WPNFACTOR(C505)</f>
        <v>2</v>
      </c>
      <c r="Q505" s="34" cm="1">
        <f t="array" ref="Q505">HPFACTOr(C505)</f>
        <v>5</v>
      </c>
      <c r="R505" s="33">
        <f t="shared" si="78"/>
        <v>2946.25</v>
      </c>
      <c r="S505" s="34">
        <f t="shared" si="79"/>
        <v>13595436.800000001</v>
      </c>
      <c r="T505" s="33">
        <f t="shared" si="80"/>
        <v>2946.25</v>
      </c>
      <c r="U505" s="42">
        <f t="shared" si="81"/>
        <v>13595436.800000001</v>
      </c>
      <c r="V505" s="44"/>
      <c r="W505" s="29">
        <f t="shared" si="76"/>
        <v>40055555672</v>
      </c>
      <c r="X505" s="41">
        <f t="shared" si="82"/>
        <v>35.221283305978794</v>
      </c>
      <c r="Y505" s="33">
        <f t="shared" si="83"/>
        <v>447.36879751268981</v>
      </c>
      <c r="Z505" s="33">
        <v>0.8</v>
      </c>
      <c r="AA505" s="29">
        <f t="shared" si="84"/>
        <v>357.89503801015189</v>
      </c>
      <c r="AB505" s="48">
        <f t="shared" si="85"/>
        <v>3421.5344752813753</v>
      </c>
      <c r="AD505" s="47">
        <f t="shared" si="86"/>
        <v>0</v>
      </c>
    </row>
    <row r="506" spans="1:30" x14ac:dyDescent="0.2">
      <c r="A506" s="30" t="s">
        <v>8849</v>
      </c>
      <c r="B506" s="29">
        <v>10</v>
      </c>
      <c r="C506" s="29">
        <v>1</v>
      </c>
      <c r="D506" s="29">
        <v>370</v>
      </c>
      <c r="E506" s="29">
        <v>7163</v>
      </c>
      <c r="F506" s="29">
        <v>2516</v>
      </c>
      <c r="G506" s="29">
        <v>2479</v>
      </c>
      <c r="H506" s="29">
        <v>37114</v>
      </c>
      <c r="I506" s="29">
        <v>1731</v>
      </c>
      <c r="J506" s="29">
        <v>68846472</v>
      </c>
      <c r="K506" s="29">
        <v>3964</v>
      </c>
      <c r="L506" s="29">
        <v>7873</v>
      </c>
      <c r="N506" s="34"/>
      <c r="O506" s="29">
        <f t="shared" si="77"/>
        <v>5918.5</v>
      </c>
      <c r="P506" s="32" cm="1">
        <f t="array" ref="P506">WPNFACTOR(C506)</f>
        <v>2</v>
      </c>
      <c r="Q506" s="34" cm="1">
        <f t="array" ref="Q506">HPFACTOr(C506)</f>
        <v>5</v>
      </c>
      <c r="R506" s="33">
        <f t="shared" si="78"/>
        <v>2959.25</v>
      </c>
      <c r="S506" s="34">
        <f t="shared" si="79"/>
        <v>13769294.4</v>
      </c>
      <c r="T506" s="33">
        <f t="shared" si="80"/>
        <v>2959.25</v>
      </c>
      <c r="U506" s="42">
        <f t="shared" si="81"/>
        <v>13769294.4</v>
      </c>
      <c r="V506" s="44"/>
      <c r="W506" s="29">
        <f t="shared" si="76"/>
        <v>40746784453.200005</v>
      </c>
      <c r="X506" s="41">
        <f t="shared" si="82"/>
        <v>35.245967161923751</v>
      </c>
      <c r="Y506" s="33">
        <f t="shared" si="83"/>
        <v>449.28646505163857</v>
      </c>
      <c r="Z506" s="33">
        <v>0.8</v>
      </c>
      <c r="AA506" s="29">
        <f t="shared" si="84"/>
        <v>359.42917204131089</v>
      </c>
      <c r="AB506" s="48">
        <f t="shared" si="85"/>
        <v>3441.1038589802743</v>
      </c>
      <c r="AD506" s="47">
        <f t="shared" si="86"/>
        <v>0</v>
      </c>
    </row>
    <row r="507" spans="1:30" x14ac:dyDescent="0.2">
      <c r="A507" s="30" t="s">
        <v>8850</v>
      </c>
      <c r="B507" s="29">
        <v>1</v>
      </c>
      <c r="C507" s="29">
        <v>1</v>
      </c>
      <c r="D507" s="29">
        <v>372</v>
      </c>
      <c r="E507" s="29">
        <v>7206</v>
      </c>
      <c r="F507" s="29">
        <v>2531</v>
      </c>
      <c r="G507" s="29">
        <v>2494</v>
      </c>
      <c r="H507" s="29">
        <v>37389</v>
      </c>
      <c r="I507" s="29">
        <v>1736</v>
      </c>
      <c r="J507" s="29">
        <v>69730488</v>
      </c>
      <c r="K507" s="29">
        <v>3980</v>
      </c>
      <c r="L507" s="29">
        <v>7945</v>
      </c>
      <c r="N507" s="34"/>
      <c r="O507" s="29">
        <f t="shared" si="77"/>
        <v>5962.5</v>
      </c>
      <c r="P507" s="32" cm="1">
        <f t="array" ref="P507">WPNFACTOR(C507)</f>
        <v>2</v>
      </c>
      <c r="Q507" s="34" cm="1">
        <f t="array" ref="Q507">HPFACTOr(C507)</f>
        <v>5</v>
      </c>
      <c r="R507" s="33">
        <f t="shared" si="78"/>
        <v>2981.25</v>
      </c>
      <c r="S507" s="34">
        <f t="shared" si="79"/>
        <v>13946097.6</v>
      </c>
      <c r="T507" s="33">
        <f t="shared" si="80"/>
        <v>2981.25</v>
      </c>
      <c r="U507" s="42">
        <f t="shared" si="81"/>
        <v>13946097.6</v>
      </c>
      <c r="V507" s="44"/>
      <c r="W507" s="29">
        <f t="shared" si="76"/>
        <v>41576803470</v>
      </c>
      <c r="X507" s="41">
        <f t="shared" si="82"/>
        <v>35.275059793283205</v>
      </c>
      <c r="Y507" s="33">
        <f t="shared" si="83"/>
        <v>451.557202845571</v>
      </c>
      <c r="Z507" s="33">
        <v>0.8</v>
      </c>
      <c r="AA507" s="29">
        <f t="shared" si="84"/>
        <v>361.24576227645684</v>
      </c>
      <c r="AB507" s="48">
        <f t="shared" si="85"/>
        <v>3464.3122714479709</v>
      </c>
      <c r="AD507" s="47">
        <f t="shared" si="86"/>
        <v>0</v>
      </c>
    </row>
    <row r="508" spans="1:30" x14ac:dyDescent="0.2">
      <c r="A508" s="30" t="s">
        <v>8850</v>
      </c>
      <c r="B508" s="29">
        <v>2</v>
      </c>
      <c r="C508" s="29">
        <v>3</v>
      </c>
      <c r="D508" s="29">
        <v>374</v>
      </c>
      <c r="E508" s="29">
        <v>1826</v>
      </c>
      <c r="F508" s="29">
        <v>7249</v>
      </c>
      <c r="G508" s="29">
        <v>1812</v>
      </c>
      <c r="H508" s="29">
        <v>37658</v>
      </c>
      <c r="I508" s="29">
        <v>2639</v>
      </c>
      <c r="J508" s="29">
        <v>56487000</v>
      </c>
      <c r="K508" s="29">
        <v>5024</v>
      </c>
      <c r="L508" s="29">
        <v>9980</v>
      </c>
      <c r="N508" s="34"/>
      <c r="O508" s="29">
        <f t="shared" si="77"/>
        <v>7502</v>
      </c>
      <c r="P508" s="32" cm="1">
        <f t="array" ref="P508">WPNFACTOR(C508)</f>
        <v>2.5</v>
      </c>
      <c r="Q508" s="34" cm="1">
        <f t="array" ref="Q508">HPFACTOr(C508)</f>
        <v>4</v>
      </c>
      <c r="R508" s="33">
        <f t="shared" si="78"/>
        <v>3000.8</v>
      </c>
      <c r="S508" s="34">
        <f t="shared" si="79"/>
        <v>14121750</v>
      </c>
      <c r="T508" s="33">
        <f t="shared" si="80"/>
        <v>3000.8</v>
      </c>
      <c r="U508" s="42">
        <f t="shared" si="81"/>
        <v>14121750</v>
      </c>
      <c r="V508" s="44"/>
      <c r="W508" s="29">
        <f t="shared" si="76"/>
        <v>42376547400</v>
      </c>
      <c r="X508" s="41">
        <f t="shared" si="82"/>
        <v>35.302546998787427</v>
      </c>
      <c r="Y508" s="33">
        <f t="shared" si="83"/>
        <v>453.71317701346936</v>
      </c>
      <c r="Z508" s="33">
        <v>0.8</v>
      </c>
      <c r="AA508" s="29">
        <f t="shared" si="84"/>
        <v>362.97054161077551</v>
      </c>
      <c r="AB508" s="48">
        <f t="shared" si="85"/>
        <v>3486.3837606462339</v>
      </c>
      <c r="AD508" s="47">
        <f t="shared" si="86"/>
        <v>0</v>
      </c>
    </row>
    <row r="509" spans="1:30" x14ac:dyDescent="0.2">
      <c r="A509" s="30" t="s">
        <v>8850</v>
      </c>
      <c r="B509" s="29">
        <v>3</v>
      </c>
      <c r="C509" s="29">
        <v>1</v>
      </c>
      <c r="D509" s="29">
        <v>376</v>
      </c>
      <c r="E509" s="29">
        <v>7292</v>
      </c>
      <c r="F509" s="29">
        <v>2561</v>
      </c>
      <c r="G509" s="29">
        <v>2525</v>
      </c>
      <c r="H509" s="29">
        <v>37922</v>
      </c>
      <c r="I509" s="29">
        <v>1745</v>
      </c>
      <c r="J509" s="29">
        <v>71482968</v>
      </c>
      <c r="K509" s="29">
        <v>4082</v>
      </c>
      <c r="L509" s="29">
        <v>7966</v>
      </c>
      <c r="N509" s="34"/>
      <c r="O509" s="29">
        <f t="shared" si="77"/>
        <v>6024</v>
      </c>
      <c r="P509" s="32" cm="1">
        <f t="array" ref="P509">WPNFACTOR(C509)</f>
        <v>2</v>
      </c>
      <c r="Q509" s="34" cm="1">
        <f t="array" ref="Q509">HPFACTOr(C509)</f>
        <v>5</v>
      </c>
      <c r="R509" s="33">
        <f t="shared" si="78"/>
        <v>3012</v>
      </c>
      <c r="S509" s="34">
        <f t="shared" si="79"/>
        <v>14296593.6</v>
      </c>
      <c r="T509" s="33">
        <f t="shared" si="80"/>
        <v>3012</v>
      </c>
      <c r="U509" s="42">
        <f t="shared" si="81"/>
        <v>14296593.6</v>
      </c>
      <c r="V509" s="44"/>
      <c r="W509" s="29">
        <f t="shared" si="76"/>
        <v>43061339923.199997</v>
      </c>
      <c r="X509" s="41">
        <f t="shared" si="82"/>
        <v>35.325674160865532</v>
      </c>
      <c r="Y509" s="33">
        <f t="shared" si="83"/>
        <v>455.53514080993483</v>
      </c>
      <c r="Z509" s="33">
        <v>0.8</v>
      </c>
      <c r="AA509" s="29">
        <f t="shared" si="84"/>
        <v>364.4281126479479</v>
      </c>
      <c r="AB509" s="48">
        <f t="shared" si="85"/>
        <v>3505.0631461548192</v>
      </c>
      <c r="AD509" s="47">
        <f t="shared" si="86"/>
        <v>0</v>
      </c>
    </row>
    <row r="510" spans="1:30" x14ac:dyDescent="0.2">
      <c r="A510" s="30" t="s">
        <v>8850</v>
      </c>
      <c r="B510" s="29">
        <v>4</v>
      </c>
      <c r="C510" s="29">
        <v>1</v>
      </c>
      <c r="D510" s="29">
        <v>378</v>
      </c>
      <c r="E510" s="29">
        <v>7336</v>
      </c>
      <c r="F510" s="29">
        <v>2576</v>
      </c>
      <c r="G510" s="29">
        <v>2541</v>
      </c>
      <c r="H510" s="29">
        <v>38192</v>
      </c>
      <c r="I510" s="29">
        <v>1750</v>
      </c>
      <c r="J510" s="29">
        <v>72373840</v>
      </c>
      <c r="K510" s="29">
        <v>4055</v>
      </c>
      <c r="L510" s="29">
        <v>8051</v>
      </c>
      <c r="N510" s="34"/>
      <c r="O510" s="29">
        <f t="shared" si="77"/>
        <v>6053</v>
      </c>
      <c r="P510" s="32" cm="1">
        <f t="array" ref="P510">WPNFACTOR(C510)</f>
        <v>2</v>
      </c>
      <c r="Q510" s="34" cm="1">
        <f t="array" ref="Q510">HPFACTOr(C510)</f>
        <v>5</v>
      </c>
      <c r="R510" s="33">
        <f t="shared" si="78"/>
        <v>3026.5</v>
      </c>
      <c r="S510" s="34">
        <f t="shared" si="79"/>
        <v>14474768</v>
      </c>
      <c r="T510" s="33">
        <f t="shared" si="80"/>
        <v>3026.5</v>
      </c>
      <c r="U510" s="42">
        <f t="shared" si="81"/>
        <v>14474768</v>
      </c>
      <c r="V510" s="44"/>
      <c r="W510" s="29">
        <f t="shared" si="76"/>
        <v>43807885352</v>
      </c>
      <c r="X510" s="41">
        <f t="shared" si="82"/>
        <v>35.350471524963069</v>
      </c>
      <c r="Y510" s="33">
        <f t="shared" si="83"/>
        <v>457.49681239477786</v>
      </c>
      <c r="Z510" s="33">
        <v>0.8</v>
      </c>
      <c r="AA510" s="29">
        <f t="shared" si="84"/>
        <v>365.9974499158223</v>
      </c>
      <c r="AB510" s="48">
        <f t="shared" si="85"/>
        <v>3525.2027206520088</v>
      </c>
      <c r="AD510" s="47">
        <f t="shared" si="86"/>
        <v>0</v>
      </c>
    </row>
    <row r="511" spans="1:30" x14ac:dyDescent="0.2">
      <c r="A511" s="30" t="s">
        <v>8850</v>
      </c>
      <c r="B511" s="29">
        <v>5</v>
      </c>
      <c r="C511" s="29">
        <v>2</v>
      </c>
      <c r="D511" s="29">
        <v>380</v>
      </c>
      <c r="E511" s="29">
        <v>1830</v>
      </c>
      <c r="F511" s="29">
        <v>1858</v>
      </c>
      <c r="G511" s="29">
        <v>7489</v>
      </c>
      <c r="H511" s="29">
        <v>37846</v>
      </c>
      <c r="I511" s="29">
        <v>2673</v>
      </c>
      <c r="J511" s="29">
        <v>28838652</v>
      </c>
      <c r="K511" s="29">
        <v>9157</v>
      </c>
      <c r="L511" s="29">
        <v>17530</v>
      </c>
      <c r="N511" s="34"/>
      <c r="O511" s="29">
        <f t="shared" si="77"/>
        <v>13343.5</v>
      </c>
      <c r="P511" s="32" cm="1">
        <f t="array" ref="P511">WPNFACTOR(C511)</f>
        <v>4.5</v>
      </c>
      <c r="Q511" s="34" cm="1">
        <f t="array" ref="Q511">HPFACTOr(C511)</f>
        <v>2</v>
      </c>
      <c r="R511" s="33">
        <f t="shared" si="78"/>
        <v>2965.2222222222222</v>
      </c>
      <c r="S511" s="34">
        <f t="shared" si="79"/>
        <v>14419326</v>
      </c>
      <c r="T511" s="33">
        <f t="shared" si="80"/>
        <v>2965.2222222222222</v>
      </c>
      <c r="U511" s="42">
        <f t="shared" si="81"/>
        <v>14419326</v>
      </c>
      <c r="V511" s="44"/>
      <c r="W511" s="29">
        <f t="shared" si="76"/>
        <v>42756505884.666664</v>
      </c>
      <c r="X511" s="41">
        <f t="shared" si="82"/>
        <v>35.31542490789942</v>
      </c>
      <c r="Y511" s="33">
        <f t="shared" si="83"/>
        <v>454.7268010196114</v>
      </c>
      <c r="Z511" s="33">
        <v>0.8</v>
      </c>
      <c r="AA511" s="29">
        <f t="shared" si="84"/>
        <v>363.78144081568917</v>
      </c>
      <c r="AB511" s="48">
        <f t="shared" si="85"/>
        <v>3496.7726953900019</v>
      </c>
      <c r="AD511" s="47">
        <f t="shared" si="86"/>
        <v>0</v>
      </c>
    </row>
    <row r="512" spans="1:30" x14ac:dyDescent="0.2">
      <c r="A512" s="30" t="s">
        <v>8850</v>
      </c>
      <c r="B512" s="29">
        <v>6</v>
      </c>
      <c r="C512" s="29">
        <v>3</v>
      </c>
      <c r="D512" s="29">
        <v>382</v>
      </c>
      <c r="E512" s="29">
        <v>1869</v>
      </c>
      <c r="F512" s="29">
        <v>7421</v>
      </c>
      <c r="G512" s="29">
        <v>1855</v>
      </c>
      <c r="H512" s="29">
        <v>38714</v>
      </c>
      <c r="I512" s="29">
        <v>2694</v>
      </c>
      <c r="J512" s="29">
        <v>59309848</v>
      </c>
      <c r="K512" s="29">
        <v>5163</v>
      </c>
      <c r="L512" s="29">
        <v>9965</v>
      </c>
      <c r="N512" s="34"/>
      <c r="O512" s="29">
        <f t="shared" si="77"/>
        <v>7564</v>
      </c>
      <c r="P512" s="32" cm="1">
        <f t="array" ref="P512">WPNFACTOR(C512)</f>
        <v>2.5</v>
      </c>
      <c r="Q512" s="34" cm="1">
        <f t="array" ref="Q512">HPFACTOr(C512)</f>
        <v>4</v>
      </c>
      <c r="R512" s="33">
        <f t="shared" si="78"/>
        <v>3025.6</v>
      </c>
      <c r="S512" s="34">
        <f t="shared" si="79"/>
        <v>14827462</v>
      </c>
      <c r="T512" s="33">
        <f t="shared" si="80"/>
        <v>3025.6</v>
      </c>
      <c r="U512" s="42">
        <f t="shared" si="81"/>
        <v>14827462.000000002</v>
      </c>
      <c r="V512" s="44"/>
      <c r="W512" s="29">
        <f t="shared" si="76"/>
        <v>44861969027.200005</v>
      </c>
      <c r="X512" s="41">
        <f t="shared" si="82"/>
        <v>35.384773891710552</v>
      </c>
      <c r="Y512" s="33">
        <f t="shared" si="83"/>
        <v>460.22433917028059</v>
      </c>
      <c r="Z512" s="33">
        <v>0.8</v>
      </c>
      <c r="AA512" s="29">
        <f t="shared" si="84"/>
        <v>368.17947133622448</v>
      </c>
      <c r="AB512" s="48">
        <f t="shared" si="85"/>
        <v>3553.2528283087277</v>
      </c>
      <c r="AD512" s="47">
        <f t="shared" si="86"/>
        <v>0</v>
      </c>
    </row>
    <row r="513" spans="1:30" x14ac:dyDescent="0.2">
      <c r="A513" s="30" t="s">
        <v>8850</v>
      </c>
      <c r="B513" s="29">
        <v>7</v>
      </c>
      <c r="C513" s="29">
        <v>1</v>
      </c>
      <c r="D513" s="29">
        <v>384</v>
      </c>
      <c r="E513" s="29">
        <v>7464</v>
      </c>
      <c r="F513" s="29">
        <v>2620</v>
      </c>
      <c r="G513" s="29">
        <v>2586</v>
      </c>
      <c r="H513" s="29">
        <v>38978</v>
      </c>
      <c r="I513" s="29">
        <v>1765</v>
      </c>
      <c r="J513" s="29">
        <v>75032648</v>
      </c>
      <c r="K513" s="29">
        <v>4115</v>
      </c>
      <c r="L513" s="29">
        <v>8191</v>
      </c>
      <c r="N513" s="34"/>
      <c r="O513" s="29">
        <f t="shared" si="77"/>
        <v>6153</v>
      </c>
      <c r="P513" s="32" cm="1">
        <f t="array" ref="P513">WPNFACTOR(C513)</f>
        <v>2</v>
      </c>
      <c r="Q513" s="34" cm="1">
        <f t="array" ref="Q513">HPFACTOr(C513)</f>
        <v>5</v>
      </c>
      <c r="R513" s="33">
        <f t="shared" si="78"/>
        <v>3076.5</v>
      </c>
      <c r="S513" s="34">
        <f t="shared" si="79"/>
        <v>15006529.6</v>
      </c>
      <c r="T513" s="33">
        <f t="shared" si="80"/>
        <v>3076.5</v>
      </c>
      <c r="U513" s="42">
        <f t="shared" si="81"/>
        <v>15006529.6</v>
      </c>
      <c r="V513" s="44"/>
      <c r="W513" s="29">
        <f t="shared" si="76"/>
        <v>46167588314.400002</v>
      </c>
      <c r="X513" s="41">
        <f t="shared" si="82"/>
        <v>35.426161320253115</v>
      </c>
      <c r="Y513" s="33">
        <f t="shared" si="83"/>
        <v>463.53688415225423</v>
      </c>
      <c r="Z513" s="33">
        <v>0.8</v>
      </c>
      <c r="AA513" s="29">
        <f t="shared" si="84"/>
        <v>370.82950732180342</v>
      </c>
      <c r="AB513" s="48">
        <f t="shared" si="85"/>
        <v>3587.3938797220362</v>
      </c>
      <c r="AD513" s="47">
        <f t="shared" si="86"/>
        <v>0</v>
      </c>
    </row>
    <row r="514" spans="1:30" x14ac:dyDescent="0.2">
      <c r="A514" s="30" t="s">
        <v>8850</v>
      </c>
      <c r="B514" s="29">
        <v>8</v>
      </c>
      <c r="C514" s="29">
        <v>3</v>
      </c>
      <c r="D514" s="29">
        <v>386</v>
      </c>
      <c r="E514" s="29">
        <v>1890</v>
      </c>
      <c r="F514" s="29">
        <v>7507</v>
      </c>
      <c r="G514" s="29">
        <v>1876</v>
      </c>
      <c r="H514" s="29">
        <v>39237</v>
      </c>
      <c r="I514" s="29">
        <v>2721</v>
      </c>
      <c r="J514" s="29">
        <v>60738876</v>
      </c>
      <c r="K514" s="29">
        <v>5162</v>
      </c>
      <c r="L514" s="29">
        <v>10319</v>
      </c>
      <c r="N514" s="34"/>
      <c r="O514" s="29">
        <f t="shared" si="77"/>
        <v>7740.5</v>
      </c>
      <c r="P514" s="32" cm="1">
        <f t="array" ref="P514">WPNFACTOR(C514)</f>
        <v>2.5</v>
      </c>
      <c r="Q514" s="34" cm="1">
        <f t="array" ref="Q514">HPFACTOr(C514)</f>
        <v>4</v>
      </c>
      <c r="R514" s="33">
        <f t="shared" si="78"/>
        <v>3096.2</v>
      </c>
      <c r="S514" s="34">
        <f t="shared" si="79"/>
        <v>15184719</v>
      </c>
      <c r="T514" s="33">
        <f t="shared" si="80"/>
        <v>3096.2</v>
      </c>
      <c r="U514" s="42">
        <f t="shared" si="81"/>
        <v>15184719</v>
      </c>
      <c r="V514" s="44"/>
      <c r="W514" s="29">
        <f t="shared" si="76"/>
        <v>47014926967.799995</v>
      </c>
      <c r="X514" s="41">
        <f t="shared" si="82"/>
        <v>35.452399825736876</v>
      </c>
      <c r="Y514" s="33">
        <f t="shared" si="83"/>
        <v>465.64928609189718</v>
      </c>
      <c r="Z514" s="33">
        <v>0.8</v>
      </c>
      <c r="AA514" s="29">
        <f t="shared" si="84"/>
        <v>372.51942887351777</v>
      </c>
      <c r="AB514" s="48">
        <f t="shared" si="85"/>
        <v>3609.2080881448992</v>
      </c>
      <c r="AD514" s="47">
        <f t="shared" si="86"/>
        <v>0</v>
      </c>
    </row>
    <row r="515" spans="1:30" x14ac:dyDescent="0.2">
      <c r="A515" s="30" t="s">
        <v>8850</v>
      </c>
      <c r="B515" s="29">
        <v>9</v>
      </c>
      <c r="C515" s="29">
        <v>2</v>
      </c>
      <c r="D515" s="29">
        <v>388</v>
      </c>
      <c r="E515" s="29">
        <v>1874</v>
      </c>
      <c r="F515" s="29">
        <v>1900</v>
      </c>
      <c r="G515" s="29">
        <v>7654</v>
      </c>
      <c r="H515" s="29">
        <v>38918</v>
      </c>
      <c r="I515" s="29">
        <v>2729</v>
      </c>
      <c r="J515" s="29">
        <v>30278204</v>
      </c>
      <c r="K515" s="29">
        <v>9868</v>
      </c>
      <c r="L515" s="29">
        <v>18597</v>
      </c>
      <c r="N515" s="34"/>
      <c r="O515" s="29">
        <f t="shared" si="77"/>
        <v>14232.5</v>
      </c>
      <c r="P515" s="32" cm="1">
        <f t="array" ref="P515">WPNFACTOR(C515)</f>
        <v>4.5</v>
      </c>
      <c r="Q515" s="34" cm="1">
        <f t="array" ref="Q515">HPFACTOr(C515)</f>
        <v>2</v>
      </c>
      <c r="R515" s="33">
        <f t="shared" si="78"/>
        <v>3162.7777777777778</v>
      </c>
      <c r="S515" s="34">
        <f t="shared" si="79"/>
        <v>15139102</v>
      </c>
      <c r="T515" s="33">
        <f t="shared" si="80"/>
        <v>3162.7777777777778</v>
      </c>
      <c r="U515" s="42">
        <f t="shared" si="81"/>
        <v>15139102.000000002</v>
      </c>
      <c r="V515" s="44"/>
      <c r="W515" s="29">
        <f t="shared" si="76"/>
        <v>47881615381.111115</v>
      </c>
      <c r="X515" s="41">
        <f t="shared" si="82"/>
        <v>35.478752774150145</v>
      </c>
      <c r="Y515" s="33">
        <f t="shared" si="83"/>
        <v>467.78059121518004</v>
      </c>
      <c r="Z515" s="33">
        <v>0.8</v>
      </c>
      <c r="AA515" s="29">
        <f t="shared" si="84"/>
        <v>374.22447297214404</v>
      </c>
      <c r="AB515" s="48">
        <f t="shared" si="85"/>
        <v>3631.2509603263629</v>
      </c>
      <c r="AD515" s="47">
        <f t="shared" si="86"/>
        <v>0</v>
      </c>
    </row>
    <row r="516" spans="1:30" x14ac:dyDescent="0.2">
      <c r="A516" s="30" t="s">
        <v>8850</v>
      </c>
      <c r="B516" s="29">
        <v>10</v>
      </c>
      <c r="C516" s="29">
        <v>1</v>
      </c>
      <c r="D516" s="29">
        <v>390</v>
      </c>
      <c r="E516" s="29">
        <v>7592</v>
      </c>
      <c r="F516" s="29">
        <v>2665</v>
      </c>
      <c r="G516" s="29">
        <v>2632</v>
      </c>
      <c r="H516" s="29">
        <v>39754</v>
      </c>
      <c r="I516" s="29">
        <v>1781</v>
      </c>
      <c r="J516" s="29">
        <v>77719072</v>
      </c>
      <c r="K516" s="29">
        <v>4180</v>
      </c>
      <c r="L516" s="29">
        <v>8336</v>
      </c>
      <c r="N516" s="34"/>
      <c r="O516" s="29">
        <f t="shared" si="77"/>
        <v>6258</v>
      </c>
      <c r="P516" s="32" cm="1">
        <f t="array" ref="P516">WPNFACTOR(C516)</f>
        <v>2</v>
      </c>
      <c r="Q516" s="34" cm="1">
        <f t="array" ref="Q516">HPFACTOr(C516)</f>
        <v>5</v>
      </c>
      <c r="R516" s="33">
        <f t="shared" si="78"/>
        <v>3129</v>
      </c>
      <c r="S516" s="34">
        <f t="shared" si="79"/>
        <v>15543814.4</v>
      </c>
      <c r="T516" s="33">
        <f t="shared" si="80"/>
        <v>3129</v>
      </c>
      <c r="U516" s="42">
        <f t="shared" si="81"/>
        <v>15543814.4</v>
      </c>
      <c r="V516" s="44"/>
      <c r="W516" s="29">
        <f t="shared" si="76"/>
        <v>48636595257.599998</v>
      </c>
      <c r="X516" s="41">
        <f t="shared" si="82"/>
        <v>35.501323187176069</v>
      </c>
      <c r="Y516" s="33">
        <f t="shared" si="83"/>
        <v>469.61373591670468</v>
      </c>
      <c r="Z516" s="33">
        <v>0.8</v>
      </c>
      <c r="AA516" s="29">
        <f t="shared" si="84"/>
        <v>375.69098873336378</v>
      </c>
      <c r="AB516" s="48">
        <f t="shared" si="85"/>
        <v>3650.2369335805574</v>
      </c>
      <c r="AD516" s="47">
        <f t="shared" si="86"/>
        <v>0</v>
      </c>
    </row>
    <row r="517" spans="1:30" x14ac:dyDescent="0.2">
      <c r="A517" s="30" t="s">
        <v>8851</v>
      </c>
      <c r="B517" s="29">
        <v>1</v>
      </c>
      <c r="C517" s="29">
        <v>2</v>
      </c>
      <c r="D517" s="29">
        <v>392</v>
      </c>
      <c r="E517" s="29">
        <v>1895</v>
      </c>
      <c r="F517" s="29">
        <v>1921</v>
      </c>
      <c r="G517" s="29">
        <v>7737</v>
      </c>
      <c r="H517" s="29">
        <v>39440</v>
      </c>
      <c r="I517" s="29">
        <v>2756</v>
      </c>
      <c r="J517" s="29">
        <v>30999840</v>
      </c>
      <c r="K517" s="29">
        <v>9910</v>
      </c>
      <c r="L517" s="29">
        <v>18710</v>
      </c>
      <c r="N517" s="34"/>
      <c r="O517" s="29">
        <f t="shared" si="77"/>
        <v>14310</v>
      </c>
      <c r="P517" s="32" cm="1">
        <f t="array" ref="P517">WPNFACTOR(C517)</f>
        <v>4.5</v>
      </c>
      <c r="Q517" s="34" cm="1">
        <f t="array" ref="Q517">HPFACTOr(C517)</f>
        <v>2</v>
      </c>
      <c r="R517" s="33">
        <f t="shared" si="78"/>
        <v>3180</v>
      </c>
      <c r="S517" s="34">
        <f t="shared" si="79"/>
        <v>15499920</v>
      </c>
      <c r="T517" s="33">
        <f t="shared" si="80"/>
        <v>3180</v>
      </c>
      <c r="U517" s="42">
        <f t="shared" si="81"/>
        <v>15499920</v>
      </c>
      <c r="V517" s="44"/>
      <c r="W517" s="29">
        <f t="shared" si="76"/>
        <v>49289745600</v>
      </c>
      <c r="X517" s="41">
        <f t="shared" si="82"/>
        <v>35.520568483695598</v>
      </c>
      <c r="Y517" s="33">
        <f t="shared" si="83"/>
        <v>471.18249135913987</v>
      </c>
      <c r="Z517" s="33">
        <v>0.8</v>
      </c>
      <c r="AA517" s="29">
        <f t="shared" si="84"/>
        <v>376.94599308731193</v>
      </c>
      <c r="AB517" s="48">
        <f t="shared" si="85"/>
        <v>3666.5042455142957</v>
      </c>
      <c r="AD517" s="47">
        <f t="shared" si="86"/>
        <v>0</v>
      </c>
    </row>
    <row r="518" spans="1:30" x14ac:dyDescent="0.2">
      <c r="A518" s="30" t="s">
        <v>8851</v>
      </c>
      <c r="B518" s="29">
        <v>2</v>
      </c>
      <c r="C518" s="29">
        <v>2</v>
      </c>
      <c r="D518" s="29">
        <v>394</v>
      </c>
      <c r="E518" s="29">
        <v>1906</v>
      </c>
      <c r="F518" s="29">
        <v>1931</v>
      </c>
      <c r="G518" s="29">
        <v>7778</v>
      </c>
      <c r="H518" s="29">
        <v>39704</v>
      </c>
      <c r="I518" s="29">
        <v>2770</v>
      </c>
      <c r="J518" s="29">
        <v>31366160</v>
      </c>
      <c r="K518" s="29">
        <v>9918</v>
      </c>
      <c r="L518" s="29">
        <v>18819</v>
      </c>
      <c r="N518" s="34"/>
      <c r="O518" s="29">
        <f t="shared" si="77"/>
        <v>14368.5</v>
      </c>
      <c r="P518" s="32" cm="1">
        <f t="array" ref="P518">WPNFACTOR(C518)</f>
        <v>4.5</v>
      </c>
      <c r="Q518" s="34" cm="1">
        <f t="array" ref="Q518">HPFACTOr(C518)</f>
        <v>2</v>
      </c>
      <c r="R518" s="33">
        <f t="shared" si="78"/>
        <v>3193</v>
      </c>
      <c r="S518" s="34">
        <f t="shared" si="79"/>
        <v>15683080</v>
      </c>
      <c r="T518" s="33">
        <f t="shared" si="80"/>
        <v>3193</v>
      </c>
      <c r="U518" s="42">
        <f t="shared" si="81"/>
        <v>15683080</v>
      </c>
      <c r="V518" s="44"/>
      <c r="W518" s="29">
        <f t="shared" si="76"/>
        <v>50076074440</v>
      </c>
      <c r="X518" s="41">
        <f t="shared" si="82"/>
        <v>35.543402419931681</v>
      </c>
      <c r="Y518" s="33">
        <f t="shared" si="83"/>
        <v>473.05056887624215</v>
      </c>
      <c r="Z518" s="33">
        <v>0.8</v>
      </c>
      <c r="AA518" s="29">
        <f t="shared" si="84"/>
        <v>378.44045510099374</v>
      </c>
      <c r="AB518" s="48">
        <f t="shared" si="85"/>
        <v>3685.8989560765158</v>
      </c>
      <c r="AD518" s="47">
        <f t="shared" si="86"/>
        <v>0</v>
      </c>
    </row>
    <row r="519" spans="1:30" x14ac:dyDescent="0.2">
      <c r="A519" s="30" t="s">
        <v>8851</v>
      </c>
      <c r="B519" s="29">
        <v>3</v>
      </c>
      <c r="C519" s="29">
        <v>1</v>
      </c>
      <c r="D519" s="29">
        <v>396</v>
      </c>
      <c r="E519" s="29">
        <v>7718</v>
      </c>
      <c r="F519" s="29">
        <v>2709</v>
      </c>
      <c r="G519" s="29">
        <v>2677</v>
      </c>
      <c r="H519" s="29">
        <v>40513</v>
      </c>
      <c r="I519" s="29">
        <v>1797</v>
      </c>
      <c r="J519" s="29">
        <v>80418304</v>
      </c>
      <c r="K519" s="29">
        <v>4237</v>
      </c>
      <c r="L519" s="29">
        <v>8464</v>
      </c>
      <c r="N519" s="34"/>
      <c r="O519" s="29">
        <f t="shared" si="77"/>
        <v>6350.5</v>
      </c>
      <c r="P519" s="32" cm="1">
        <f t="array" ref="P519">WPNFACTOR(C519)</f>
        <v>2</v>
      </c>
      <c r="Q519" s="34" cm="1">
        <f t="array" ref="Q519">HPFACTOr(C519)</f>
        <v>5</v>
      </c>
      <c r="R519" s="33">
        <f t="shared" si="78"/>
        <v>3175.25</v>
      </c>
      <c r="S519" s="34">
        <f t="shared" si="79"/>
        <v>16083660.800000001</v>
      </c>
      <c r="T519" s="33">
        <f t="shared" si="80"/>
        <v>3175.25</v>
      </c>
      <c r="U519" s="42">
        <f t="shared" si="81"/>
        <v>16083660.800000001</v>
      </c>
      <c r="V519" s="44"/>
      <c r="W519" s="29">
        <f t="shared" si="76"/>
        <v>51069643955.200005</v>
      </c>
      <c r="X519" s="41">
        <f t="shared" si="82"/>
        <v>35.57174694984959</v>
      </c>
      <c r="Y519" s="33">
        <f t="shared" si="83"/>
        <v>475.3797824018967</v>
      </c>
      <c r="Z519" s="33">
        <v>0.8</v>
      </c>
      <c r="AA519" s="29">
        <f t="shared" si="84"/>
        <v>380.30382592151739</v>
      </c>
      <c r="AB519" s="48">
        <f t="shared" si="85"/>
        <v>3710.1170388362634</v>
      </c>
      <c r="AD519" s="47">
        <f t="shared" si="86"/>
        <v>0</v>
      </c>
    </row>
    <row r="520" spans="1:30" x14ac:dyDescent="0.2">
      <c r="A520" s="30" t="s">
        <v>8851</v>
      </c>
      <c r="B520" s="29">
        <v>4</v>
      </c>
      <c r="C520" s="29">
        <v>3</v>
      </c>
      <c r="D520" s="29">
        <v>398</v>
      </c>
      <c r="E520" s="29">
        <v>1952</v>
      </c>
      <c r="F520" s="29">
        <v>7761</v>
      </c>
      <c r="G520" s="29">
        <v>1940</v>
      </c>
      <c r="H520" s="29">
        <v>40766</v>
      </c>
      <c r="I520" s="29">
        <v>2804</v>
      </c>
      <c r="J520" s="29">
        <v>65062536</v>
      </c>
      <c r="K520" s="29">
        <v>5335</v>
      </c>
      <c r="L520" s="29">
        <v>10577</v>
      </c>
      <c r="N520" s="34"/>
      <c r="O520" s="29">
        <f t="shared" si="77"/>
        <v>7956</v>
      </c>
      <c r="P520" s="32" cm="1">
        <f t="array" ref="P520">WPNFACTOR(C520)</f>
        <v>2.5</v>
      </c>
      <c r="Q520" s="34" cm="1">
        <f t="array" ref="Q520">HPFACTOr(C520)</f>
        <v>4</v>
      </c>
      <c r="R520" s="33">
        <f t="shared" si="78"/>
        <v>3182.4</v>
      </c>
      <c r="S520" s="34">
        <f t="shared" si="79"/>
        <v>16265634</v>
      </c>
      <c r="T520" s="33">
        <f t="shared" si="80"/>
        <v>3182.4</v>
      </c>
      <c r="U520" s="42">
        <f t="shared" si="81"/>
        <v>16265634</v>
      </c>
      <c r="V520" s="44"/>
      <c r="W520" s="29">
        <f t="shared" si="76"/>
        <v>51763753641.599998</v>
      </c>
      <c r="X520" s="41">
        <f t="shared" si="82"/>
        <v>35.59122318683329</v>
      </c>
      <c r="Y520" s="33">
        <f t="shared" si="83"/>
        <v>476.9868875790051</v>
      </c>
      <c r="Z520" s="33">
        <v>0.8</v>
      </c>
      <c r="AA520" s="29">
        <f t="shared" si="84"/>
        <v>381.5895100632041</v>
      </c>
      <c r="AB520" s="48">
        <f t="shared" si="85"/>
        <v>3726.8500610796427</v>
      </c>
      <c r="AD520" s="47">
        <f t="shared" si="86"/>
        <v>0</v>
      </c>
    </row>
    <row r="521" spans="1:30" x14ac:dyDescent="0.2">
      <c r="A521" s="30" t="s">
        <v>8851</v>
      </c>
      <c r="B521" s="29">
        <v>5</v>
      </c>
      <c r="C521" s="29">
        <v>2</v>
      </c>
      <c r="D521" s="29">
        <v>400</v>
      </c>
      <c r="E521" s="29">
        <v>1938</v>
      </c>
      <c r="F521" s="29">
        <v>1963</v>
      </c>
      <c r="G521" s="29">
        <v>7901</v>
      </c>
      <c r="H521" s="29">
        <v>40480</v>
      </c>
      <c r="I521" s="29">
        <v>2812</v>
      </c>
      <c r="J521" s="29">
        <v>32464960</v>
      </c>
      <c r="K521" s="29">
        <v>9869</v>
      </c>
      <c r="L521" s="29">
        <v>19019</v>
      </c>
      <c r="N521" s="34"/>
      <c r="O521" s="29">
        <f t="shared" si="77"/>
        <v>14444</v>
      </c>
      <c r="P521" s="32" cm="1">
        <f t="array" ref="P521">WPNFACTOR(C521)</f>
        <v>4.5</v>
      </c>
      <c r="Q521" s="34" cm="1">
        <f t="array" ref="Q521">HPFACTOr(C521)</f>
        <v>2</v>
      </c>
      <c r="R521" s="33">
        <f t="shared" si="78"/>
        <v>3209.7777777777778</v>
      </c>
      <c r="S521" s="34">
        <f t="shared" si="79"/>
        <v>16232480</v>
      </c>
      <c r="T521" s="33">
        <f t="shared" si="80"/>
        <v>3209.7777777777778</v>
      </c>
      <c r="U521" s="42">
        <f t="shared" si="81"/>
        <v>16232480</v>
      </c>
      <c r="V521" s="44"/>
      <c r="W521" s="29">
        <f t="shared" si="76"/>
        <v>52102653582.222221</v>
      </c>
      <c r="X521" s="41">
        <f t="shared" si="82"/>
        <v>35.600637799542923</v>
      </c>
      <c r="Y521" s="33">
        <f t="shared" si="83"/>
        <v>477.76569248288308</v>
      </c>
      <c r="Z521" s="33">
        <v>0.8</v>
      </c>
      <c r="AA521" s="29">
        <f t="shared" si="84"/>
        <v>382.21255398630649</v>
      </c>
      <c r="AB521" s="48">
        <f t="shared" si="85"/>
        <v>3734.9656682721384</v>
      </c>
      <c r="AD521" s="47">
        <f t="shared" si="86"/>
        <v>0</v>
      </c>
    </row>
    <row r="522" spans="1:30" x14ac:dyDescent="0.2">
      <c r="A522" s="30" t="s">
        <v>8851</v>
      </c>
      <c r="B522" s="29">
        <v>6</v>
      </c>
      <c r="C522" s="29">
        <v>1</v>
      </c>
      <c r="D522" s="29">
        <v>404</v>
      </c>
      <c r="E522" s="29">
        <v>7884</v>
      </c>
      <c r="F522" s="29">
        <v>2766</v>
      </c>
      <c r="G522" s="29">
        <v>2736</v>
      </c>
      <c r="H522" s="29">
        <v>41476</v>
      </c>
      <c r="I522" s="29">
        <v>1824</v>
      </c>
      <c r="J522" s="29">
        <v>83988896</v>
      </c>
      <c r="K522" s="29">
        <v>4343</v>
      </c>
      <c r="L522" s="29">
        <v>8638</v>
      </c>
      <c r="N522" s="34"/>
      <c r="O522" s="29">
        <f t="shared" si="77"/>
        <v>6490.5</v>
      </c>
      <c r="P522" s="32" cm="1">
        <f t="array" ref="P522">WPNFACTOR(C522)</f>
        <v>2</v>
      </c>
      <c r="Q522" s="34" cm="1">
        <f t="array" ref="Q522">HPFACTOr(C522)</f>
        <v>5</v>
      </c>
      <c r="R522" s="33">
        <f t="shared" si="78"/>
        <v>3245.25</v>
      </c>
      <c r="S522" s="34">
        <f t="shared" si="79"/>
        <v>16797779.199999999</v>
      </c>
      <c r="T522" s="33">
        <f t="shared" si="80"/>
        <v>3245.25</v>
      </c>
      <c r="U522" s="42">
        <f t="shared" si="81"/>
        <v>16797779.199999999</v>
      </c>
      <c r="V522" s="44"/>
      <c r="W522" s="29">
        <f t="shared" si="76"/>
        <v>54512992948.799995</v>
      </c>
      <c r="X522" s="41">
        <f t="shared" si="82"/>
        <v>35.665881080207996</v>
      </c>
      <c r="Y522" s="33">
        <f t="shared" si="83"/>
        <v>483.19786503988252</v>
      </c>
      <c r="Z522" s="33">
        <v>0.8</v>
      </c>
      <c r="AA522" s="29">
        <f t="shared" si="84"/>
        <v>386.55829203190603</v>
      </c>
      <c r="AB522" s="48">
        <f t="shared" si="85"/>
        <v>3791.6945323332338</v>
      </c>
      <c r="AD522" s="47">
        <f t="shared" si="86"/>
        <v>0</v>
      </c>
    </row>
    <row r="523" spans="1:30" x14ac:dyDescent="0.2">
      <c r="A523" s="30" t="s">
        <v>8851</v>
      </c>
      <c r="B523" s="29">
        <v>7</v>
      </c>
      <c r="C523" s="29">
        <v>3</v>
      </c>
      <c r="D523" s="29">
        <v>408</v>
      </c>
      <c r="E523" s="29">
        <v>2003</v>
      </c>
      <c r="F523" s="29">
        <v>7965</v>
      </c>
      <c r="G523" s="29">
        <v>1991</v>
      </c>
      <c r="H523" s="29">
        <v>41932</v>
      </c>
      <c r="I523" s="29">
        <v>2874</v>
      </c>
      <c r="J523" s="29">
        <v>68600752</v>
      </c>
      <c r="K523" s="29">
        <v>5473</v>
      </c>
      <c r="L523" s="29">
        <v>10904</v>
      </c>
      <c r="N523" s="34"/>
      <c r="O523" s="29">
        <f t="shared" si="77"/>
        <v>8188.5</v>
      </c>
      <c r="P523" s="32" cm="1">
        <f t="array" ref="P523">WPNFACTOR(C523)</f>
        <v>2.5</v>
      </c>
      <c r="Q523" s="34" cm="1">
        <f t="array" ref="Q523">HPFACTOr(C523)</f>
        <v>4</v>
      </c>
      <c r="R523" s="33">
        <f t="shared" si="78"/>
        <v>3275.4</v>
      </c>
      <c r="S523" s="34">
        <f t="shared" si="79"/>
        <v>17150188</v>
      </c>
      <c r="T523" s="33">
        <f t="shared" si="80"/>
        <v>3275.4</v>
      </c>
      <c r="U523" s="42">
        <f t="shared" si="81"/>
        <v>17150188</v>
      </c>
      <c r="V523" s="44"/>
      <c r="W523" s="29">
        <f t="shared" si="76"/>
        <v>56173725775.200005</v>
      </c>
      <c r="X523" s="41">
        <f t="shared" si="82"/>
        <v>35.709176443069197</v>
      </c>
      <c r="Y523" s="33">
        <f t="shared" si="83"/>
        <v>486.83669724064151</v>
      </c>
      <c r="Z523" s="33">
        <v>0.8</v>
      </c>
      <c r="AA523" s="29">
        <f t="shared" si="84"/>
        <v>389.46935779251322</v>
      </c>
      <c r="AB523" s="48">
        <f t="shared" si="85"/>
        <v>3829.8145368771065</v>
      </c>
      <c r="AD523" s="47">
        <f t="shared" si="86"/>
        <v>0</v>
      </c>
    </row>
    <row r="524" spans="1:30" x14ac:dyDescent="0.2">
      <c r="A524" s="30" t="s">
        <v>8851</v>
      </c>
      <c r="B524" s="29">
        <v>8</v>
      </c>
      <c r="C524" s="29">
        <v>1</v>
      </c>
      <c r="D524" s="29">
        <v>412</v>
      </c>
      <c r="E524" s="29">
        <v>8046</v>
      </c>
      <c r="F524" s="29">
        <v>2823</v>
      </c>
      <c r="G524" s="29">
        <v>2793</v>
      </c>
      <c r="H524" s="29">
        <v>42383</v>
      </c>
      <c r="I524" s="29">
        <v>1854</v>
      </c>
      <c r="J524" s="29">
        <v>87520896</v>
      </c>
      <c r="K524" s="29">
        <v>4431</v>
      </c>
      <c r="L524" s="29">
        <v>8806</v>
      </c>
      <c r="N524" s="34"/>
      <c r="O524" s="29">
        <f t="shared" si="77"/>
        <v>6618.5</v>
      </c>
      <c r="P524" s="32" cm="1">
        <f t="array" ref="P524">WPNFACTOR(C524)</f>
        <v>2</v>
      </c>
      <c r="Q524" s="34" cm="1">
        <f t="array" ref="Q524">HPFACTOr(C524)</f>
        <v>5</v>
      </c>
      <c r="R524" s="33">
        <f t="shared" si="78"/>
        <v>3309.25</v>
      </c>
      <c r="S524" s="34">
        <f t="shared" si="79"/>
        <v>17504179.199999999</v>
      </c>
      <c r="T524" s="33">
        <f t="shared" si="80"/>
        <v>3309.25</v>
      </c>
      <c r="U524" s="42">
        <f t="shared" si="81"/>
        <v>17504179.199999999</v>
      </c>
      <c r="V524" s="44"/>
      <c r="W524" s="29">
        <f t="shared" si="76"/>
        <v>57925705017.599998</v>
      </c>
      <c r="X524" s="41">
        <f t="shared" si="82"/>
        <v>35.753484647207664</v>
      </c>
      <c r="Y524" s="33">
        <f t="shared" si="83"/>
        <v>490.58902921602891</v>
      </c>
      <c r="Z524" s="33">
        <v>0.8</v>
      </c>
      <c r="AA524" s="29">
        <f t="shared" si="84"/>
        <v>392.47122337282315</v>
      </c>
      <c r="AB524" s="48">
        <f t="shared" si="85"/>
        <v>3869.2231372146543</v>
      </c>
      <c r="AD524" s="47">
        <f t="shared" si="86"/>
        <v>0</v>
      </c>
    </row>
    <row r="525" spans="1:30" x14ac:dyDescent="0.2">
      <c r="A525" s="30" t="s">
        <v>8851</v>
      </c>
      <c r="B525" s="29">
        <v>9</v>
      </c>
      <c r="C525" s="29">
        <v>1</v>
      </c>
      <c r="D525" s="29">
        <v>416</v>
      </c>
      <c r="E525" s="29">
        <v>8127</v>
      </c>
      <c r="F525" s="29">
        <v>2851</v>
      </c>
      <c r="G525" s="29">
        <v>2821</v>
      </c>
      <c r="H525" s="29">
        <v>42840</v>
      </c>
      <c r="I525" s="29">
        <v>1868</v>
      </c>
      <c r="J525" s="29">
        <v>89321400</v>
      </c>
      <c r="K525" s="29">
        <v>4609</v>
      </c>
      <c r="L525" s="29">
        <v>8868</v>
      </c>
      <c r="N525" s="34"/>
      <c r="O525" s="29">
        <f t="shared" si="77"/>
        <v>6738.5</v>
      </c>
      <c r="P525" s="32" cm="1">
        <f t="array" ref="P525">WPNFACTOR(C525)</f>
        <v>2</v>
      </c>
      <c r="Q525" s="34" cm="1">
        <f t="array" ref="Q525">HPFACTOr(C525)</f>
        <v>5</v>
      </c>
      <c r="R525" s="33">
        <f t="shared" si="78"/>
        <v>3369.25</v>
      </c>
      <c r="S525" s="34">
        <f t="shared" si="79"/>
        <v>17864280</v>
      </c>
      <c r="T525" s="33">
        <f t="shared" si="80"/>
        <v>3369.25</v>
      </c>
      <c r="U525" s="42">
        <f t="shared" si="81"/>
        <v>17864280</v>
      </c>
      <c r="V525" s="44"/>
      <c r="W525" s="29">
        <f t="shared" si="76"/>
        <v>60189225390</v>
      </c>
      <c r="X525" s="41">
        <f t="shared" si="82"/>
        <v>35.808786198854328</v>
      </c>
      <c r="Y525" s="33">
        <f t="shared" si="83"/>
        <v>495.31295655289205</v>
      </c>
      <c r="Z525" s="33">
        <v>0.8</v>
      </c>
      <c r="AA525" s="29">
        <f t="shared" si="84"/>
        <v>396.25036524231365</v>
      </c>
      <c r="AB525" s="48">
        <f t="shared" si="85"/>
        <v>3918.9788353812041</v>
      </c>
      <c r="AD525" s="47">
        <f t="shared" si="86"/>
        <v>0</v>
      </c>
    </row>
    <row r="526" spans="1:30" x14ac:dyDescent="0.2">
      <c r="A526" s="30" t="s">
        <v>8851</v>
      </c>
      <c r="B526" s="29">
        <v>10</v>
      </c>
      <c r="C526" s="29">
        <v>1</v>
      </c>
      <c r="D526" s="29">
        <v>420</v>
      </c>
      <c r="E526" s="29">
        <v>8208</v>
      </c>
      <c r="F526" s="29">
        <v>2880</v>
      </c>
      <c r="G526" s="29">
        <v>2850</v>
      </c>
      <c r="H526" s="29">
        <v>43296</v>
      </c>
      <c r="I526" s="29">
        <v>1884</v>
      </c>
      <c r="J526" s="29">
        <v>91138080</v>
      </c>
      <c r="K526" s="29">
        <v>4499</v>
      </c>
      <c r="L526" s="29">
        <v>8979</v>
      </c>
      <c r="N526" s="34"/>
      <c r="O526" s="29">
        <f t="shared" si="77"/>
        <v>6739</v>
      </c>
      <c r="P526" s="32" cm="1">
        <f t="array" ref="P526">WPNFACTOR(C526)</f>
        <v>2</v>
      </c>
      <c r="Q526" s="34" cm="1">
        <f t="array" ref="Q526">HPFACTOr(C526)</f>
        <v>5</v>
      </c>
      <c r="R526" s="33">
        <f t="shared" si="78"/>
        <v>3369.5</v>
      </c>
      <c r="S526" s="34">
        <f t="shared" si="79"/>
        <v>18227616</v>
      </c>
      <c r="T526" s="33">
        <f t="shared" si="80"/>
        <v>3369.5</v>
      </c>
      <c r="U526" s="42">
        <f t="shared" si="81"/>
        <v>18227616</v>
      </c>
      <c r="V526" s="44"/>
      <c r="W526" s="29">
        <f t="shared" si="76"/>
        <v>61417952112</v>
      </c>
      <c r="X526" s="41">
        <f t="shared" si="82"/>
        <v>35.83794135752219</v>
      </c>
      <c r="Y526" s="33">
        <f t="shared" si="83"/>
        <v>497.82171068945547</v>
      </c>
      <c r="Z526" s="33">
        <v>0.8</v>
      </c>
      <c r="AA526" s="29">
        <f t="shared" si="84"/>
        <v>398.25736855156441</v>
      </c>
      <c r="AB526" s="48">
        <f t="shared" si="85"/>
        <v>3945.4672592667075</v>
      </c>
      <c r="AD526" s="47">
        <f t="shared" si="86"/>
        <v>0</v>
      </c>
    </row>
    <row r="527" spans="1:30" x14ac:dyDescent="0.2">
      <c r="A527" s="30" t="s">
        <v>8852</v>
      </c>
      <c r="B527" s="29">
        <v>1</v>
      </c>
      <c r="C527" s="29">
        <v>1</v>
      </c>
      <c r="D527" s="29">
        <v>424</v>
      </c>
      <c r="E527" s="29">
        <v>9041</v>
      </c>
      <c r="F527" s="29">
        <v>3171</v>
      </c>
      <c r="G527" s="29">
        <v>3141</v>
      </c>
      <c r="H527" s="29">
        <v>47883</v>
      </c>
      <c r="I527" s="29">
        <v>2049</v>
      </c>
      <c r="J527" s="29">
        <v>101751376</v>
      </c>
      <c r="K527" s="29">
        <v>4535</v>
      </c>
      <c r="L527" s="29">
        <v>9045</v>
      </c>
      <c r="N527" s="34"/>
      <c r="O527" s="29">
        <f t="shared" si="77"/>
        <v>6790</v>
      </c>
      <c r="P527" s="32" cm="1">
        <f t="array" ref="P527">WPNFACTOR(C527)</f>
        <v>2</v>
      </c>
      <c r="Q527" s="34" cm="1">
        <f t="array" ref="Q527">HPFACTOr(C527)</f>
        <v>5</v>
      </c>
      <c r="R527" s="33">
        <f t="shared" si="78"/>
        <v>3395</v>
      </c>
      <c r="S527" s="34">
        <f t="shared" si="79"/>
        <v>20350275.199999999</v>
      </c>
      <c r="T527" s="33">
        <f t="shared" si="80"/>
        <v>3395</v>
      </c>
      <c r="U527" s="42">
        <f t="shared" si="81"/>
        <v>20350275.199999999</v>
      </c>
      <c r="V527" s="44"/>
      <c r="W527" s="29">
        <f t="shared" si="76"/>
        <v>69089184304</v>
      </c>
      <c r="X527" s="41">
        <f t="shared" si="82"/>
        <v>36.007740827760983</v>
      </c>
      <c r="Y527" s="33">
        <f t="shared" si="83"/>
        <v>512.68724904515477</v>
      </c>
      <c r="Z527" s="33">
        <v>0.8</v>
      </c>
      <c r="AA527" s="29">
        <f t="shared" si="84"/>
        <v>410.14979923612384</v>
      </c>
      <c r="AB527" s="48">
        <f t="shared" si="85"/>
        <v>4103.3322959623611</v>
      </c>
      <c r="AD527" s="47">
        <f t="shared" si="86"/>
        <v>0</v>
      </c>
    </row>
    <row r="528" spans="1:30" x14ac:dyDescent="0.2">
      <c r="A528" s="30" t="s">
        <v>8852</v>
      </c>
      <c r="B528" s="29">
        <v>2</v>
      </c>
      <c r="C528" s="29">
        <v>2</v>
      </c>
      <c r="D528" s="29">
        <v>428</v>
      </c>
      <c r="E528" s="29">
        <v>2342</v>
      </c>
      <c r="F528" s="29">
        <v>2365</v>
      </c>
      <c r="G528" s="29">
        <v>9511</v>
      </c>
      <c r="H528" s="29">
        <v>49434</v>
      </c>
      <c r="I528" s="29">
        <v>3374</v>
      </c>
      <c r="J528" s="29">
        <v>42414372</v>
      </c>
      <c r="K528" s="29">
        <v>10557</v>
      </c>
      <c r="L528" s="29">
        <v>20581</v>
      </c>
      <c r="N528" s="34"/>
      <c r="O528" s="29">
        <f t="shared" si="77"/>
        <v>15569</v>
      </c>
      <c r="P528" s="32" cm="1">
        <f t="array" ref="P528">WPNFACTOR(C528)</f>
        <v>4.5</v>
      </c>
      <c r="Q528" s="34" cm="1">
        <f t="array" ref="Q528">HPFACTOr(C528)</f>
        <v>2</v>
      </c>
      <c r="R528" s="33">
        <f t="shared" si="78"/>
        <v>3459.7777777777778</v>
      </c>
      <c r="S528" s="34">
        <f t="shared" si="79"/>
        <v>21207186</v>
      </c>
      <c r="T528" s="33">
        <f t="shared" si="80"/>
        <v>3459.7777777777778</v>
      </c>
      <c r="U528" s="42">
        <f t="shared" si="81"/>
        <v>21207186</v>
      </c>
      <c r="V528" s="44"/>
      <c r="W528" s="29">
        <f t="shared" si="76"/>
        <v>73372150852</v>
      </c>
      <c r="X528" s="41">
        <f t="shared" si="82"/>
        <v>36.094513526224127</v>
      </c>
      <c r="Y528" s="33">
        <f t="shared" si="83"/>
        <v>520.45455350711995</v>
      </c>
      <c r="Z528" s="33">
        <v>0.8</v>
      </c>
      <c r="AA528" s="29">
        <f t="shared" si="84"/>
        <v>416.36364280569597</v>
      </c>
      <c r="AB528" s="48">
        <f t="shared" si="85"/>
        <v>4186.4291921635122</v>
      </c>
      <c r="AD528" s="47">
        <f t="shared" si="86"/>
        <v>0</v>
      </c>
    </row>
    <row r="529" spans="1:30" x14ac:dyDescent="0.2">
      <c r="A529" s="30" t="s">
        <v>8852</v>
      </c>
      <c r="B529" s="29">
        <v>3</v>
      </c>
      <c r="C529" s="29">
        <v>1</v>
      </c>
      <c r="D529" s="29">
        <v>432</v>
      </c>
      <c r="E529" s="29">
        <v>9811</v>
      </c>
      <c r="F529" s="29">
        <v>3441</v>
      </c>
      <c r="G529" s="29">
        <v>3411</v>
      </c>
      <c r="H529" s="29">
        <v>52140</v>
      </c>
      <c r="I529" s="29">
        <v>2201</v>
      </c>
      <c r="J529" s="29">
        <v>112883104</v>
      </c>
      <c r="K529" s="29">
        <v>4628</v>
      </c>
      <c r="L529" s="29">
        <v>9222</v>
      </c>
      <c r="N529" s="34"/>
      <c r="O529" s="29">
        <f t="shared" si="77"/>
        <v>6925</v>
      </c>
      <c r="P529" s="32" cm="1">
        <f t="array" ref="P529">WPNFACTOR(C529)</f>
        <v>2</v>
      </c>
      <c r="Q529" s="34" cm="1">
        <f t="array" ref="Q529">HPFACTOr(C529)</f>
        <v>5</v>
      </c>
      <c r="R529" s="33">
        <f t="shared" si="78"/>
        <v>3462.5</v>
      </c>
      <c r="S529" s="34">
        <f t="shared" si="79"/>
        <v>22576620.800000001</v>
      </c>
      <c r="T529" s="33">
        <f t="shared" si="80"/>
        <v>3462.5</v>
      </c>
      <c r="U529" s="42">
        <f t="shared" si="81"/>
        <v>22576620.800000001</v>
      </c>
      <c r="V529" s="44"/>
      <c r="W529" s="29">
        <f t="shared" si="76"/>
        <v>78171549520</v>
      </c>
      <c r="X529" s="41">
        <f t="shared" si="82"/>
        <v>36.185924584095289</v>
      </c>
      <c r="Y529" s="33">
        <f t="shared" si="83"/>
        <v>528.76436632982518</v>
      </c>
      <c r="Z529" s="33">
        <v>0.8</v>
      </c>
      <c r="AA529" s="29">
        <f t="shared" si="84"/>
        <v>423.01149306386014</v>
      </c>
      <c r="AB529" s="48">
        <f t="shared" si="85"/>
        <v>4275.7887494180122</v>
      </c>
      <c r="AD529" s="47">
        <f t="shared" si="86"/>
        <v>0</v>
      </c>
    </row>
    <row r="530" spans="1:30" x14ac:dyDescent="0.2">
      <c r="A530" s="30" t="s">
        <v>8852</v>
      </c>
      <c r="B530" s="29">
        <v>4</v>
      </c>
      <c r="C530" s="29">
        <v>2</v>
      </c>
      <c r="D530" s="29">
        <v>436</v>
      </c>
      <c r="E530" s="29">
        <v>2545</v>
      </c>
      <c r="F530" s="29">
        <v>2568</v>
      </c>
      <c r="G530" s="29">
        <v>10322</v>
      </c>
      <c r="H530" s="29">
        <v>53922</v>
      </c>
      <c r="I530" s="29">
        <v>3657</v>
      </c>
      <c r="J530" s="29">
        <v>47127828</v>
      </c>
      <c r="K530" s="29">
        <v>10533</v>
      </c>
      <c r="L530" s="29">
        <v>19240</v>
      </c>
      <c r="N530" s="34"/>
      <c r="O530" s="29">
        <f t="shared" si="77"/>
        <v>14886.5</v>
      </c>
      <c r="P530" s="32" cm="1">
        <f t="array" ref="P530">WPNFACTOR(C530)</f>
        <v>4.5</v>
      </c>
      <c r="Q530" s="34" cm="1">
        <f t="array" ref="Q530">HPFACTOr(C530)</f>
        <v>2</v>
      </c>
      <c r="R530" s="33">
        <f t="shared" si="78"/>
        <v>3308.1111111111113</v>
      </c>
      <c r="S530" s="34">
        <f t="shared" si="79"/>
        <v>23563914</v>
      </c>
      <c r="T530" s="33">
        <f t="shared" si="80"/>
        <v>3308.1111111111113</v>
      </c>
      <c r="U530" s="42">
        <f t="shared" si="81"/>
        <v>23563913.999999996</v>
      </c>
      <c r="V530" s="44"/>
      <c r="W530" s="29">
        <f t="shared" si="76"/>
        <v>77952045724.666656</v>
      </c>
      <c r="X530" s="41">
        <f t="shared" si="82"/>
        <v>36.181867833478591</v>
      </c>
      <c r="Y530" s="33">
        <f t="shared" si="83"/>
        <v>528.39278548378604</v>
      </c>
      <c r="Z530" s="33">
        <v>0.8</v>
      </c>
      <c r="AA530" s="29">
        <f t="shared" si="84"/>
        <v>422.71422838702887</v>
      </c>
      <c r="AB530" s="48">
        <f t="shared" si="85"/>
        <v>4271.7828942863007</v>
      </c>
      <c r="AD530" s="47">
        <f t="shared" si="86"/>
        <v>0</v>
      </c>
    </row>
    <row r="531" spans="1:30" x14ac:dyDescent="0.2">
      <c r="A531" s="30" t="s">
        <v>8852</v>
      </c>
      <c r="B531" s="29">
        <v>5</v>
      </c>
      <c r="C531" s="29">
        <v>1</v>
      </c>
      <c r="D531" s="29">
        <v>440</v>
      </c>
      <c r="E531" s="29">
        <v>10958</v>
      </c>
      <c r="F531" s="29">
        <v>3842</v>
      </c>
      <c r="G531" s="29">
        <v>3813</v>
      </c>
      <c r="H531" s="29">
        <v>58465</v>
      </c>
      <c r="I531" s="29">
        <v>2428</v>
      </c>
      <c r="J531" s="29">
        <v>128915328</v>
      </c>
      <c r="K531" s="29">
        <v>4709</v>
      </c>
      <c r="L531" s="29">
        <v>9401</v>
      </c>
      <c r="N531" s="34"/>
      <c r="O531" s="29">
        <f t="shared" si="77"/>
        <v>7055</v>
      </c>
      <c r="P531" s="32" cm="1">
        <f t="array" ref="P531">WPNFACTOR(C531)</f>
        <v>2</v>
      </c>
      <c r="Q531" s="34" cm="1">
        <f t="array" ref="Q531">HPFACTOr(C531)</f>
        <v>5</v>
      </c>
      <c r="R531" s="33">
        <f t="shared" si="78"/>
        <v>3527.5</v>
      </c>
      <c r="S531" s="34">
        <f t="shared" si="79"/>
        <v>25783065.600000001</v>
      </c>
      <c r="T531" s="33">
        <f t="shared" si="80"/>
        <v>3527.5</v>
      </c>
      <c r="U531" s="42">
        <f t="shared" si="81"/>
        <v>25783065.600000005</v>
      </c>
      <c r="V531" s="44"/>
      <c r="W531" s="29">
        <f t="shared" si="76"/>
        <v>90949763904.000015</v>
      </c>
      <c r="X531" s="41">
        <f t="shared" si="82"/>
        <v>36.404350841670997</v>
      </c>
      <c r="Y531" s="33">
        <f t="shared" si="83"/>
        <v>549.16189376803072</v>
      </c>
      <c r="Z531" s="33">
        <v>0.8</v>
      </c>
      <c r="AA531" s="29">
        <f t="shared" si="84"/>
        <v>439.3295150144246</v>
      </c>
      <c r="AB531" s="48">
        <f t="shared" si="85"/>
        <v>4497.1136042100143</v>
      </c>
      <c r="AD531" s="47">
        <f t="shared" si="86"/>
        <v>0</v>
      </c>
    </row>
    <row r="532" spans="1:30" x14ac:dyDescent="0.2">
      <c r="A532" s="30" t="s">
        <v>8852</v>
      </c>
      <c r="B532" s="29">
        <v>6</v>
      </c>
      <c r="C532" s="29">
        <v>3</v>
      </c>
      <c r="D532" s="29">
        <v>444</v>
      </c>
      <c r="E532" s="29">
        <v>3133</v>
      </c>
      <c r="F532" s="29">
        <v>12490</v>
      </c>
      <c r="G532" s="29">
        <v>3122</v>
      </c>
      <c r="H532" s="29">
        <v>66896</v>
      </c>
      <c r="I532" s="29">
        <v>4454</v>
      </c>
      <c r="J532" s="29">
        <v>119074880</v>
      </c>
      <c r="K532" s="29">
        <v>5942</v>
      </c>
      <c r="L532" s="29">
        <v>11862</v>
      </c>
      <c r="N532" s="34"/>
      <c r="O532" s="29">
        <f t="shared" si="77"/>
        <v>8902</v>
      </c>
      <c r="P532" s="32" cm="1">
        <f t="array" ref="P532">WPNFACTOR(C532)</f>
        <v>2.5</v>
      </c>
      <c r="Q532" s="34" cm="1">
        <f t="array" ref="Q532">HPFACTOr(C532)</f>
        <v>4</v>
      </c>
      <c r="R532" s="33">
        <f t="shared" si="78"/>
        <v>3560.8</v>
      </c>
      <c r="S532" s="34">
        <f t="shared" si="79"/>
        <v>29768720</v>
      </c>
      <c r="T532" s="33">
        <f t="shared" si="80"/>
        <v>3560.8</v>
      </c>
      <c r="U532" s="42">
        <f t="shared" si="81"/>
        <v>29768720</v>
      </c>
      <c r="V532" s="44"/>
      <c r="W532" s="29">
        <f t="shared" si="76"/>
        <v>106000458176</v>
      </c>
      <c r="X532" s="41">
        <f t="shared" si="82"/>
        <v>36.625279544462806</v>
      </c>
      <c r="Y532" s="33">
        <f t="shared" si="83"/>
        <v>570.59365187446019</v>
      </c>
      <c r="Z532" s="33">
        <v>0.8</v>
      </c>
      <c r="AA532" s="29">
        <f t="shared" si="84"/>
        <v>456.47492149956815</v>
      </c>
      <c r="AB532" s="48">
        <f t="shared" si="85"/>
        <v>4732.6303099412817</v>
      </c>
      <c r="AD532" s="47">
        <f t="shared" si="86"/>
        <v>0</v>
      </c>
    </row>
    <row r="533" spans="1:30" x14ac:dyDescent="0.2">
      <c r="A533" s="30" t="s">
        <v>8852</v>
      </c>
      <c r="B533" s="29">
        <v>7</v>
      </c>
      <c r="C533" s="29">
        <v>2</v>
      </c>
      <c r="D533" s="29">
        <v>448</v>
      </c>
      <c r="E533" s="29">
        <v>3360</v>
      </c>
      <c r="F533" s="29">
        <v>3383</v>
      </c>
      <c r="G533" s="29">
        <v>13579</v>
      </c>
      <c r="H533" s="29">
        <v>71868</v>
      </c>
      <c r="I533" s="29">
        <v>4796</v>
      </c>
      <c r="J533" s="29">
        <v>64537464</v>
      </c>
      <c r="K533" s="29">
        <v>11207</v>
      </c>
      <c r="L533" s="29">
        <v>20640</v>
      </c>
      <c r="N533" s="34"/>
      <c r="O533" s="29">
        <f t="shared" si="77"/>
        <v>15923.5</v>
      </c>
      <c r="P533" s="32" cm="1">
        <f t="array" ref="P533">WPNFACTOR(C533)</f>
        <v>4.5</v>
      </c>
      <c r="Q533" s="34" cm="1">
        <f t="array" ref="Q533">HPFACTOr(C533)</f>
        <v>2</v>
      </c>
      <c r="R533" s="33">
        <f t="shared" si="78"/>
        <v>3538.5555555555557</v>
      </c>
      <c r="S533" s="34">
        <f t="shared" si="79"/>
        <v>32268732</v>
      </c>
      <c r="T533" s="33">
        <f t="shared" si="80"/>
        <v>3538.5555555555557</v>
      </c>
      <c r="U533" s="42">
        <f t="shared" si="81"/>
        <v>32268732</v>
      </c>
      <c r="V533" s="44"/>
      <c r="W533" s="29">
        <f t="shared" si="76"/>
        <v>114184700889.33334</v>
      </c>
      <c r="X533" s="41">
        <f t="shared" si="82"/>
        <v>36.732578406986391</v>
      </c>
      <c r="Y533" s="33">
        <f t="shared" si="83"/>
        <v>581.30221747052337</v>
      </c>
      <c r="Z533" s="33">
        <v>0.8</v>
      </c>
      <c r="AA533" s="29">
        <f t="shared" si="84"/>
        <v>465.04177397641871</v>
      </c>
      <c r="AB533" s="48">
        <f t="shared" si="85"/>
        <v>4851.4248251404269</v>
      </c>
      <c r="AD533" s="47">
        <f t="shared" si="86"/>
        <v>0</v>
      </c>
    </row>
    <row r="534" spans="1:30" x14ac:dyDescent="0.2">
      <c r="A534" s="30" t="s">
        <v>8852</v>
      </c>
      <c r="B534" s="29">
        <v>8</v>
      </c>
      <c r="C534" s="29">
        <v>1</v>
      </c>
      <c r="D534" s="29">
        <v>452</v>
      </c>
      <c r="E534" s="29">
        <v>14533</v>
      </c>
      <c r="F534" s="29">
        <v>5093</v>
      </c>
      <c r="G534" s="29">
        <v>5064</v>
      </c>
      <c r="H534" s="29">
        <v>78150</v>
      </c>
      <c r="I534" s="29">
        <v>3140</v>
      </c>
      <c r="J534" s="29">
        <v>177009744</v>
      </c>
      <c r="K534" s="29">
        <v>4879</v>
      </c>
      <c r="L534" s="29">
        <v>9249</v>
      </c>
      <c r="N534" s="34"/>
      <c r="O534" s="29">
        <f t="shared" si="77"/>
        <v>7064</v>
      </c>
      <c r="P534" s="32" cm="1">
        <f t="array" ref="P534">WPNFACTOR(C534)</f>
        <v>2</v>
      </c>
      <c r="Q534" s="34" cm="1">
        <f t="array" ref="Q534">HPFACTOr(C534)</f>
        <v>5</v>
      </c>
      <c r="R534" s="33">
        <f t="shared" si="78"/>
        <v>3532</v>
      </c>
      <c r="S534" s="34">
        <f t="shared" si="79"/>
        <v>35401948.799999997</v>
      </c>
      <c r="T534" s="33">
        <f t="shared" si="80"/>
        <v>3532</v>
      </c>
      <c r="U534" s="42">
        <f t="shared" si="81"/>
        <v>35401948.799999997</v>
      </c>
      <c r="V534" s="44"/>
      <c r="W534" s="29">
        <f t="shared" si="76"/>
        <v>125039683161.59999</v>
      </c>
      <c r="X534" s="41">
        <f t="shared" si="82"/>
        <v>36.86359507156687</v>
      </c>
      <c r="Y534" s="33">
        <f t="shared" si="83"/>
        <v>594.65074338239799</v>
      </c>
      <c r="Z534" s="33">
        <v>0.8</v>
      </c>
      <c r="AA534" s="29">
        <f t="shared" si="84"/>
        <v>475.72059470591842</v>
      </c>
      <c r="AB534" s="48">
        <f t="shared" si="85"/>
        <v>5000.5290528399746</v>
      </c>
      <c r="AD534" s="47">
        <f t="shared" si="86"/>
        <v>0</v>
      </c>
    </row>
    <row r="535" spans="1:30" x14ac:dyDescent="0.2">
      <c r="A535" s="30" t="s">
        <v>8852</v>
      </c>
      <c r="B535" s="29">
        <v>9</v>
      </c>
      <c r="C535" s="29">
        <v>1</v>
      </c>
      <c r="D535" s="29">
        <v>456</v>
      </c>
      <c r="E535" s="29">
        <v>15630</v>
      </c>
      <c r="F535" s="29">
        <v>5477</v>
      </c>
      <c r="G535" s="29">
        <v>5448</v>
      </c>
      <c r="H535" s="29">
        <v>84188</v>
      </c>
      <c r="I535" s="29">
        <v>3359</v>
      </c>
      <c r="J535" s="29">
        <v>192369584</v>
      </c>
      <c r="K535" s="29">
        <v>4880</v>
      </c>
      <c r="L535" s="29">
        <v>9743</v>
      </c>
      <c r="N535" s="34"/>
      <c r="O535" s="29">
        <f t="shared" si="77"/>
        <v>7311.5</v>
      </c>
      <c r="P535" s="32" cm="1">
        <f t="array" ref="P535">WPNFACTOR(C535)</f>
        <v>2</v>
      </c>
      <c r="Q535" s="34" cm="1">
        <f t="array" ref="Q535">HPFACTOr(C535)</f>
        <v>5</v>
      </c>
      <c r="R535" s="33">
        <f t="shared" si="78"/>
        <v>3655.75</v>
      </c>
      <c r="S535" s="34">
        <f t="shared" si="79"/>
        <v>38473916.799999997</v>
      </c>
      <c r="T535" s="33">
        <f t="shared" si="80"/>
        <v>3655.75</v>
      </c>
      <c r="U535" s="42">
        <f t="shared" si="81"/>
        <v>38473916.799999997</v>
      </c>
      <c r="V535" s="44"/>
      <c r="W535" s="29">
        <f t="shared" si="76"/>
        <v>140651021341.59998</v>
      </c>
      <c r="X535" s="41">
        <f t="shared" si="82"/>
        <v>37.033329072624845</v>
      </c>
      <c r="Y535" s="33">
        <f t="shared" si="83"/>
        <v>612.40076217888566</v>
      </c>
      <c r="Z535" s="33">
        <v>0.8</v>
      </c>
      <c r="AA535" s="29">
        <f t="shared" si="84"/>
        <v>489.92060974310857</v>
      </c>
      <c r="AB535" s="48">
        <f t="shared" si="85"/>
        <v>5200.5302879024748</v>
      </c>
      <c r="AD535" s="47">
        <f t="shared" si="86"/>
        <v>0</v>
      </c>
    </row>
    <row r="536" spans="1:30" x14ac:dyDescent="0.2">
      <c r="A536" s="30" t="s">
        <v>8852</v>
      </c>
      <c r="B536" s="29">
        <v>10</v>
      </c>
      <c r="C536" s="29">
        <v>1</v>
      </c>
      <c r="D536" s="29">
        <v>460</v>
      </c>
      <c r="E536" s="29">
        <v>19366</v>
      </c>
      <c r="F536" s="29">
        <v>6785</v>
      </c>
      <c r="G536" s="29">
        <v>6756</v>
      </c>
      <c r="H536" s="29">
        <v>104742</v>
      </c>
      <c r="I536" s="29">
        <v>4105</v>
      </c>
      <c r="J536" s="29">
        <v>241430304</v>
      </c>
      <c r="K536" s="29">
        <v>4919</v>
      </c>
      <c r="L536" s="29">
        <v>9823</v>
      </c>
      <c r="N536" s="34"/>
      <c r="O536" s="29">
        <f t="shared" si="77"/>
        <v>7371</v>
      </c>
      <c r="P536" s="32" cm="1">
        <f t="array" ref="P536">WPNFACTOR(C536)</f>
        <v>2</v>
      </c>
      <c r="Q536" s="34" cm="1">
        <f t="array" ref="Q536">HPFACTOr(C536)</f>
        <v>5</v>
      </c>
      <c r="R536" s="33">
        <f t="shared" si="78"/>
        <v>3685.5</v>
      </c>
      <c r="S536" s="34">
        <f t="shared" si="79"/>
        <v>48286060.799999997</v>
      </c>
      <c r="T536" s="33">
        <f t="shared" si="80"/>
        <v>3685.5</v>
      </c>
      <c r="U536" s="42">
        <f t="shared" si="81"/>
        <v>48286060.799999997</v>
      </c>
      <c r="V536" s="44"/>
      <c r="W536" s="29">
        <f t="shared" ref="W536:W599" si="97">T536*U536</f>
        <v>177958277078.39999</v>
      </c>
      <c r="X536" s="41">
        <f t="shared" si="82"/>
        <v>37.372748079852592</v>
      </c>
      <c r="Y536" s="33">
        <f t="shared" si="83"/>
        <v>649.50058729185662</v>
      </c>
      <c r="Z536" s="33">
        <v>0.8</v>
      </c>
      <c r="AA536" s="29">
        <f t="shared" si="84"/>
        <v>519.60046983348536</v>
      </c>
      <c r="AB536" s="48">
        <f t="shared" si="85"/>
        <v>5624.7867792457719</v>
      </c>
      <c r="AD536" s="47">
        <f t="shared" si="86"/>
        <v>0</v>
      </c>
    </row>
    <row r="537" spans="1:30" x14ac:dyDescent="0.2">
      <c r="A537" s="30" t="s">
        <v>8853</v>
      </c>
      <c r="B537" s="29">
        <v>1</v>
      </c>
      <c r="C537" s="29">
        <v>1</v>
      </c>
      <c r="D537" s="29">
        <v>464</v>
      </c>
      <c r="E537" s="29">
        <v>9040</v>
      </c>
      <c r="F537" s="29">
        <v>3173</v>
      </c>
      <c r="G537" s="29">
        <v>3135</v>
      </c>
      <c r="H537" s="29">
        <v>47416</v>
      </c>
      <c r="I537" s="29">
        <v>2110</v>
      </c>
      <c r="J537" s="29">
        <v>110242200</v>
      </c>
      <c r="K537" s="29">
        <v>4966</v>
      </c>
      <c r="L537" s="29">
        <v>9792</v>
      </c>
      <c r="N537" s="34"/>
      <c r="O537" s="29">
        <f t="shared" si="77"/>
        <v>7379</v>
      </c>
      <c r="P537" s="32" cm="1">
        <f t="array" ref="P537">WPNFACTOR(C537)</f>
        <v>2</v>
      </c>
      <c r="Q537" s="34" cm="1">
        <f t="array" ref="Q537">HPFACTOr(C537)</f>
        <v>5</v>
      </c>
      <c r="R537" s="33">
        <f t="shared" si="78"/>
        <v>3689.5</v>
      </c>
      <c r="S537" s="34">
        <f t="shared" si="79"/>
        <v>22048440</v>
      </c>
      <c r="T537" s="33">
        <f t="shared" si="80"/>
        <v>3689.5</v>
      </c>
      <c r="U537" s="42">
        <f t="shared" si="81"/>
        <v>22048440</v>
      </c>
      <c r="V537" s="44"/>
      <c r="W537" s="29">
        <f t="shared" si="97"/>
        <v>81347719380</v>
      </c>
      <c r="X537" s="41">
        <f t="shared" si="82"/>
        <v>36.243382848732274</v>
      </c>
      <c r="Y537" s="33">
        <f t="shared" si="83"/>
        <v>534.05544271962174</v>
      </c>
      <c r="Z537" s="33">
        <v>0.8</v>
      </c>
      <c r="AA537" s="29">
        <f t="shared" si="84"/>
        <v>427.24435417569742</v>
      </c>
      <c r="AB537" s="48">
        <f t="shared" si="85"/>
        <v>4332.9312074314366</v>
      </c>
      <c r="AD537" s="47">
        <f t="shared" si="86"/>
        <v>0</v>
      </c>
    </row>
    <row r="538" spans="1:30" x14ac:dyDescent="0.2">
      <c r="A538" s="30" t="s">
        <v>8853</v>
      </c>
      <c r="B538" s="29">
        <v>2</v>
      </c>
      <c r="C538" s="29">
        <v>1</v>
      </c>
      <c r="D538" s="29">
        <v>468</v>
      </c>
      <c r="E538" s="29">
        <v>9126</v>
      </c>
      <c r="F538" s="29">
        <v>3202</v>
      </c>
      <c r="G538" s="29">
        <v>3166</v>
      </c>
      <c r="H538" s="29">
        <v>47938</v>
      </c>
      <c r="I538" s="29">
        <v>2120</v>
      </c>
      <c r="J538" s="29">
        <v>112414608</v>
      </c>
      <c r="K538" s="29">
        <v>5030</v>
      </c>
      <c r="L538" s="29">
        <v>9944</v>
      </c>
      <c r="N538" s="34"/>
      <c r="O538" s="29">
        <f t="shared" si="77"/>
        <v>7487</v>
      </c>
      <c r="P538" s="32" cm="1">
        <f t="array" ref="P538">WPNFACTOR(C538)</f>
        <v>2</v>
      </c>
      <c r="Q538" s="34" cm="1">
        <f t="array" ref="Q538">HPFACTOr(C538)</f>
        <v>5</v>
      </c>
      <c r="R538" s="33">
        <f t="shared" si="78"/>
        <v>3743.5</v>
      </c>
      <c r="S538" s="34">
        <f t="shared" si="79"/>
        <v>22482921.600000001</v>
      </c>
      <c r="T538" s="33">
        <f t="shared" si="80"/>
        <v>3743.5</v>
      </c>
      <c r="U538" s="42">
        <f t="shared" si="81"/>
        <v>22482921.600000001</v>
      </c>
      <c r="V538" s="44"/>
      <c r="W538" s="29">
        <f t="shared" si="97"/>
        <v>84164817009.600006</v>
      </c>
      <c r="X538" s="41">
        <f t="shared" si="82"/>
        <v>36.292498225711398</v>
      </c>
      <c r="Y538" s="33">
        <f t="shared" si="83"/>
        <v>538.6202112255387</v>
      </c>
      <c r="Z538" s="33">
        <v>0.8</v>
      </c>
      <c r="AA538" s="29">
        <f t="shared" si="84"/>
        <v>430.89616898043096</v>
      </c>
      <c r="AB538" s="48">
        <f t="shared" si="85"/>
        <v>4382.381630627835</v>
      </c>
      <c r="AD538" s="47">
        <f t="shared" si="86"/>
        <v>0</v>
      </c>
    </row>
    <row r="539" spans="1:30" x14ac:dyDescent="0.2">
      <c r="A539" s="30" t="s">
        <v>8853</v>
      </c>
      <c r="B539" s="29">
        <v>3</v>
      </c>
      <c r="C539" s="29">
        <v>2</v>
      </c>
      <c r="D539" s="29">
        <v>472</v>
      </c>
      <c r="E539" s="29">
        <v>4576</v>
      </c>
      <c r="F539" s="29">
        <v>4634</v>
      </c>
      <c r="G539" s="29">
        <v>18651</v>
      </c>
      <c r="H539" s="29">
        <v>95656</v>
      </c>
      <c r="I539" s="29">
        <v>6636</v>
      </c>
      <c r="J539" s="29">
        <v>90490576</v>
      </c>
      <c r="K539" s="29">
        <v>11355</v>
      </c>
      <c r="L539" s="29">
        <v>22703</v>
      </c>
      <c r="N539" s="34"/>
      <c r="O539" s="29">
        <f t="shared" si="77"/>
        <v>17029</v>
      </c>
      <c r="P539" s="32" cm="1">
        <f t="array" ref="P539">WPNFACTOR(C539)</f>
        <v>4.5</v>
      </c>
      <c r="Q539" s="34" cm="1">
        <f t="array" ref="Q539">HPFACTOr(C539)</f>
        <v>2</v>
      </c>
      <c r="R539" s="33">
        <f t="shared" si="78"/>
        <v>3784.2222222222222</v>
      </c>
      <c r="S539" s="34">
        <f t="shared" si="79"/>
        <v>45245288</v>
      </c>
      <c r="T539" s="33">
        <f t="shared" si="80"/>
        <v>3784.2222222222222</v>
      </c>
      <c r="U539" s="42">
        <f t="shared" si="81"/>
        <v>45245287.999999993</v>
      </c>
      <c r="V539" s="44"/>
      <c r="W539" s="29">
        <f t="shared" si="97"/>
        <v>171218224300.44443</v>
      </c>
      <c r="X539" s="41">
        <f t="shared" si="82"/>
        <v>37.317045312723018</v>
      </c>
      <c r="Y539" s="33">
        <f t="shared" si="83"/>
        <v>643.26140825155994</v>
      </c>
      <c r="Z539" s="33">
        <v>0.8</v>
      </c>
      <c r="AA539" s="29">
        <f t="shared" si="84"/>
        <v>514.60912660124802</v>
      </c>
      <c r="AB539" s="48">
        <f t="shared" si="85"/>
        <v>5552.8592177174205</v>
      </c>
      <c r="AD539" s="47">
        <f t="shared" si="86"/>
        <v>0</v>
      </c>
    </row>
    <row r="540" spans="1:30" x14ac:dyDescent="0.2">
      <c r="A540" s="30" t="s">
        <v>8853</v>
      </c>
      <c r="B540" s="29">
        <v>4</v>
      </c>
      <c r="C540" s="29">
        <v>1</v>
      </c>
      <c r="D540" s="29">
        <v>476</v>
      </c>
      <c r="E540" s="29">
        <v>18592</v>
      </c>
      <c r="F540" s="29">
        <v>6524</v>
      </c>
      <c r="G540" s="29">
        <v>6454</v>
      </c>
      <c r="H540" s="29">
        <v>97944</v>
      </c>
      <c r="I540" s="29">
        <v>4284</v>
      </c>
      <c r="J540" s="29">
        <v>233596448</v>
      </c>
      <c r="K540" s="29">
        <v>5090</v>
      </c>
      <c r="L540" s="29">
        <v>10175</v>
      </c>
      <c r="N540" s="34"/>
      <c r="O540" s="29">
        <f t="shared" si="77"/>
        <v>7632.5</v>
      </c>
      <c r="P540" s="32" cm="1">
        <f t="array" ref="P540">WPNFACTOR(C540)</f>
        <v>2</v>
      </c>
      <c r="Q540" s="34" cm="1">
        <f t="array" ref="Q540">HPFACTOr(C540)</f>
        <v>5</v>
      </c>
      <c r="R540" s="33">
        <f t="shared" si="78"/>
        <v>3816.25</v>
      </c>
      <c r="S540" s="34">
        <f t="shared" si="79"/>
        <v>46719289.600000001</v>
      </c>
      <c r="T540" s="33">
        <f t="shared" si="80"/>
        <v>3816.25</v>
      </c>
      <c r="U540" s="42">
        <f t="shared" si="81"/>
        <v>46719289.599999994</v>
      </c>
      <c r="V540" s="44"/>
      <c r="W540" s="29">
        <f t="shared" si="97"/>
        <v>178292488935.99997</v>
      </c>
      <c r="X540" s="41">
        <f t="shared" si="82"/>
        <v>37.375454970487027</v>
      </c>
      <c r="Y540" s="33">
        <f t="shared" si="83"/>
        <v>649.80531895938907</v>
      </c>
      <c r="Z540" s="33">
        <v>0.8</v>
      </c>
      <c r="AA540" s="29">
        <f t="shared" si="84"/>
        <v>519.84425516751128</v>
      </c>
      <c r="AB540" s="48">
        <f t="shared" si="85"/>
        <v>5628.3057592270552</v>
      </c>
      <c r="AD540" s="47">
        <f t="shared" si="86"/>
        <v>0</v>
      </c>
    </row>
    <row r="541" spans="1:30" x14ac:dyDescent="0.2">
      <c r="A541" s="30" t="s">
        <v>8853</v>
      </c>
      <c r="B541" s="29">
        <v>5</v>
      </c>
      <c r="C541" s="29">
        <v>1</v>
      </c>
      <c r="D541" s="29">
        <v>480</v>
      </c>
      <c r="E541" s="29">
        <v>18761</v>
      </c>
      <c r="F541" s="29">
        <v>6582</v>
      </c>
      <c r="G541" s="29">
        <v>6514</v>
      </c>
      <c r="H541" s="29">
        <v>98962</v>
      </c>
      <c r="I541" s="29">
        <v>4306</v>
      </c>
      <c r="J541" s="29">
        <v>238003616</v>
      </c>
      <c r="K541" s="29">
        <v>5133</v>
      </c>
      <c r="L541" s="29">
        <v>10259</v>
      </c>
      <c r="N541" s="34"/>
      <c r="O541" s="29">
        <f t="shared" si="77"/>
        <v>7696</v>
      </c>
      <c r="P541" s="32" cm="1">
        <f t="array" ref="P541">WPNFACTOR(C541)</f>
        <v>2</v>
      </c>
      <c r="Q541" s="34" cm="1">
        <f t="array" ref="Q541">HPFACTOr(C541)</f>
        <v>5</v>
      </c>
      <c r="R541" s="33">
        <f t="shared" si="78"/>
        <v>3848</v>
      </c>
      <c r="S541" s="34">
        <f t="shared" si="79"/>
        <v>47600723.200000003</v>
      </c>
      <c r="T541" s="33">
        <f t="shared" si="80"/>
        <v>3848</v>
      </c>
      <c r="U541" s="42">
        <f t="shared" si="81"/>
        <v>47600723.200000003</v>
      </c>
      <c r="V541" s="44"/>
      <c r="W541" s="29">
        <f t="shared" si="97"/>
        <v>183167582873.60001</v>
      </c>
      <c r="X541" s="41">
        <f t="shared" si="82"/>
        <v>37.414373240614118</v>
      </c>
      <c r="Y541" s="33">
        <f t="shared" si="83"/>
        <v>654.20243096788636</v>
      </c>
      <c r="Z541" s="33">
        <v>0.8</v>
      </c>
      <c r="AA541" s="29">
        <f t="shared" si="84"/>
        <v>523.36194477430911</v>
      </c>
      <c r="AB541" s="48">
        <f t="shared" si="85"/>
        <v>5679.1438783729445</v>
      </c>
      <c r="AD541" s="47">
        <f t="shared" si="86"/>
        <v>0</v>
      </c>
    </row>
    <row r="542" spans="1:30" x14ac:dyDescent="0.2">
      <c r="A542" s="30" t="s">
        <v>8853</v>
      </c>
      <c r="B542" s="29">
        <v>6</v>
      </c>
      <c r="C542" s="29">
        <v>2</v>
      </c>
      <c r="D542" s="29">
        <v>484</v>
      </c>
      <c r="E542" s="29">
        <v>7945</v>
      </c>
      <c r="F542" s="29">
        <v>8026</v>
      </c>
      <c r="G542" s="29">
        <v>32266</v>
      </c>
      <c r="H542" s="29">
        <v>167706</v>
      </c>
      <c r="I542" s="29">
        <v>11446</v>
      </c>
      <c r="J542" s="29">
        <v>162674816</v>
      </c>
      <c r="K542" s="29">
        <v>11672</v>
      </c>
      <c r="L542" s="29">
        <v>23265</v>
      </c>
      <c r="N542" s="34"/>
      <c r="O542" s="29">
        <f t="shared" si="77"/>
        <v>17468.5</v>
      </c>
      <c r="P542" s="32" cm="1">
        <f t="array" ref="P542">WPNFACTOR(C542)</f>
        <v>4.5</v>
      </c>
      <c r="Q542" s="34" cm="1">
        <f t="array" ref="Q542">HPFACTOr(C542)</f>
        <v>2</v>
      </c>
      <c r="R542" s="33">
        <f t="shared" si="78"/>
        <v>3881.8888888888887</v>
      </c>
      <c r="S542" s="34">
        <f t="shared" si="79"/>
        <v>81337408</v>
      </c>
      <c r="T542" s="33">
        <f t="shared" si="80"/>
        <v>3881.8888888888887</v>
      </c>
      <c r="U542" s="42">
        <f t="shared" si="81"/>
        <v>81337408</v>
      </c>
      <c r="V542" s="44"/>
      <c r="W542" s="29">
        <f t="shared" si="97"/>
        <v>315742780366.22223</v>
      </c>
      <c r="X542" s="41">
        <f t="shared" si="82"/>
        <v>38.199958790128754</v>
      </c>
      <c r="Y542" s="33">
        <f t="shared" si="83"/>
        <v>749.60652327002663</v>
      </c>
      <c r="Z542" s="33">
        <v>0.8</v>
      </c>
      <c r="AA542" s="29">
        <f t="shared" si="84"/>
        <v>599.6852186160213</v>
      </c>
      <c r="AB542" s="48">
        <f t="shared" si="85"/>
        <v>6809.4360088343183</v>
      </c>
      <c r="AD542" s="47">
        <f t="shared" si="86"/>
        <v>0</v>
      </c>
    </row>
    <row r="543" spans="1:30" x14ac:dyDescent="0.2">
      <c r="A543" s="30" t="s">
        <v>8853</v>
      </c>
      <c r="B543" s="29">
        <v>7</v>
      </c>
      <c r="C543" s="29">
        <v>3</v>
      </c>
      <c r="D543" s="29">
        <v>488</v>
      </c>
      <c r="E543" s="29">
        <v>8625</v>
      </c>
      <c r="F543" s="29">
        <v>34344</v>
      </c>
      <c r="G543" s="29">
        <v>8586</v>
      </c>
      <c r="H543" s="29">
        <v>182798</v>
      </c>
      <c r="I543" s="29">
        <v>12301</v>
      </c>
      <c r="J543" s="29">
        <v>357552896</v>
      </c>
      <c r="K543" s="29">
        <v>6520</v>
      </c>
      <c r="L543" s="29">
        <v>13024</v>
      </c>
      <c r="N543" s="34"/>
      <c r="O543" s="29">
        <f t="shared" si="77"/>
        <v>9772</v>
      </c>
      <c r="P543" s="32" cm="1">
        <f t="array" ref="P543">WPNFACTOR(C543)</f>
        <v>2.5</v>
      </c>
      <c r="Q543" s="34" cm="1">
        <f t="array" ref="Q543">HPFACTOr(C543)</f>
        <v>4</v>
      </c>
      <c r="R543" s="33">
        <f t="shared" si="78"/>
        <v>3908.8</v>
      </c>
      <c r="S543" s="34">
        <f t="shared" si="79"/>
        <v>89388224</v>
      </c>
      <c r="T543" s="33">
        <f t="shared" si="80"/>
        <v>3908.8</v>
      </c>
      <c r="U543" s="42">
        <f t="shared" si="81"/>
        <v>89388224</v>
      </c>
      <c r="V543" s="44"/>
      <c r="W543" s="29">
        <f t="shared" si="97"/>
        <v>349400689971.20001</v>
      </c>
      <c r="X543" s="41">
        <f t="shared" si="82"/>
        <v>38.346091500948248</v>
      </c>
      <c r="Y543" s="33">
        <f t="shared" si="83"/>
        <v>768.83109450486199</v>
      </c>
      <c r="Z543" s="33">
        <v>0.8</v>
      </c>
      <c r="AA543" s="29">
        <f t="shared" si="84"/>
        <v>615.06487560388962</v>
      </c>
      <c r="AB543" s="48">
        <f t="shared" si="85"/>
        <v>7043.2740370508254</v>
      </c>
      <c r="AD543" s="47">
        <f t="shared" si="86"/>
        <v>0</v>
      </c>
    </row>
    <row r="544" spans="1:30" x14ac:dyDescent="0.2">
      <c r="A544" s="30" t="s">
        <v>8853</v>
      </c>
      <c r="B544" s="29">
        <v>8</v>
      </c>
      <c r="C544" s="29">
        <v>1</v>
      </c>
      <c r="D544" s="29">
        <v>492</v>
      </c>
      <c r="E544" s="29">
        <v>41522</v>
      </c>
      <c r="F544" s="29">
        <v>14558</v>
      </c>
      <c r="G544" s="29">
        <v>14457</v>
      </c>
      <c r="H544" s="29">
        <v>222387</v>
      </c>
      <c r="I544" s="29">
        <v>9089</v>
      </c>
      <c r="J544" s="29">
        <v>548183936</v>
      </c>
      <c r="K544" s="29">
        <v>5260</v>
      </c>
      <c r="L544" s="29">
        <v>10509</v>
      </c>
      <c r="N544" s="34"/>
      <c r="O544" s="29">
        <f t="shared" si="77"/>
        <v>7884.5</v>
      </c>
      <c r="P544" s="32" cm="1">
        <f t="array" ref="P544">WPNFACTOR(C544)</f>
        <v>2</v>
      </c>
      <c r="Q544" s="34" cm="1">
        <f t="array" ref="Q544">HPFACTOr(C544)</f>
        <v>5</v>
      </c>
      <c r="R544" s="33">
        <f t="shared" si="78"/>
        <v>3942.25</v>
      </c>
      <c r="S544" s="34">
        <f t="shared" si="79"/>
        <v>109636787.2</v>
      </c>
      <c r="T544" s="33">
        <f t="shared" si="80"/>
        <v>3942.25</v>
      </c>
      <c r="U544" s="42">
        <f t="shared" si="81"/>
        <v>109636787.2</v>
      </c>
      <c r="V544" s="44"/>
      <c r="W544" s="29">
        <f t="shared" si="97"/>
        <v>432215624339.20001</v>
      </c>
      <c r="X544" s="41">
        <f t="shared" si="82"/>
        <v>38.652960269473567</v>
      </c>
      <c r="Y544" s="33">
        <f t="shared" si="83"/>
        <v>810.82123771858005</v>
      </c>
      <c r="Z544" s="33">
        <v>0.8</v>
      </c>
      <c r="AA544" s="29">
        <f t="shared" si="84"/>
        <v>648.65699017486406</v>
      </c>
      <c r="AB544" s="48">
        <f t="shared" si="85"/>
        <v>7560.7838200027054</v>
      </c>
      <c r="AD544" s="47">
        <f t="shared" si="86"/>
        <v>0</v>
      </c>
    </row>
    <row r="545" spans="1:30" x14ac:dyDescent="0.2">
      <c r="A545" s="30" t="s">
        <v>8853</v>
      </c>
      <c r="B545" s="29">
        <v>9</v>
      </c>
      <c r="C545" s="29">
        <v>1</v>
      </c>
      <c r="D545" s="29">
        <v>496</v>
      </c>
      <c r="E545" s="29">
        <v>47500</v>
      </c>
      <c r="F545" s="29">
        <v>16500</v>
      </c>
      <c r="G545" s="29">
        <v>16000</v>
      </c>
      <c r="H545" s="29">
        <v>270000</v>
      </c>
      <c r="I545" s="29">
        <v>11000</v>
      </c>
      <c r="J545" s="29">
        <v>670950016</v>
      </c>
      <c r="K545" s="29">
        <v>6337</v>
      </c>
      <c r="L545" s="29">
        <v>10105</v>
      </c>
      <c r="N545" s="34"/>
      <c r="O545" s="29">
        <f t="shared" si="77"/>
        <v>8221</v>
      </c>
      <c r="P545" s="32" cm="1">
        <f t="array" ref="P545">WPNFACTOR(C545)</f>
        <v>2</v>
      </c>
      <c r="Q545" s="34" cm="1">
        <f t="array" ref="Q545">HPFACTOr(C545)</f>
        <v>5</v>
      </c>
      <c r="R545" s="33">
        <f t="shared" si="78"/>
        <v>4110.5</v>
      </c>
      <c r="S545" s="34">
        <f t="shared" si="79"/>
        <v>134190003.2</v>
      </c>
      <c r="T545" s="33">
        <f t="shared" si="80"/>
        <v>4110.5</v>
      </c>
      <c r="U545" s="42">
        <f t="shared" si="81"/>
        <v>134190003.19999999</v>
      </c>
      <c r="V545" s="44"/>
      <c r="W545" s="29">
        <f t="shared" si="97"/>
        <v>551588008153.59998</v>
      </c>
      <c r="X545" s="41">
        <f t="shared" si="82"/>
        <v>39.004800135918543</v>
      </c>
      <c r="Y545" s="33">
        <f t="shared" si="83"/>
        <v>861.79447195620469</v>
      </c>
      <c r="Z545" s="33">
        <v>0.8</v>
      </c>
      <c r="AA545" s="29">
        <f t="shared" si="84"/>
        <v>689.43557756496375</v>
      </c>
      <c r="AB545" s="48">
        <f t="shared" si="85"/>
        <v>8201.0905160487855</v>
      </c>
      <c r="AD545" s="47">
        <f t="shared" si="86"/>
        <v>0</v>
      </c>
    </row>
    <row r="546" spans="1:30" x14ac:dyDescent="0.2">
      <c r="A546" s="30" t="s">
        <v>8853</v>
      </c>
      <c r="B546" s="29">
        <v>10</v>
      </c>
      <c r="C546" s="29">
        <v>2</v>
      </c>
      <c r="D546" s="29">
        <v>500</v>
      </c>
      <c r="E546" s="29">
        <v>9500</v>
      </c>
      <c r="F546" s="29">
        <v>11000</v>
      </c>
      <c r="G546" s="29">
        <v>40200</v>
      </c>
      <c r="H546" s="29">
        <v>190000</v>
      </c>
      <c r="I546" s="29">
        <v>29800</v>
      </c>
      <c r="J546" s="29">
        <v>454106400</v>
      </c>
      <c r="K546" s="29">
        <v>12038</v>
      </c>
      <c r="L546" s="29">
        <v>24020</v>
      </c>
      <c r="N546" s="34"/>
      <c r="O546" s="29">
        <f t="shared" si="77"/>
        <v>18029</v>
      </c>
      <c r="P546" s="32" cm="1">
        <f t="array" ref="P546">WPNFACTOR(C546)</f>
        <v>4.5</v>
      </c>
      <c r="Q546" s="34" cm="1">
        <f t="array" ref="Q546">HPFACTOr(C546)</f>
        <v>2</v>
      </c>
      <c r="R546" s="33">
        <f t="shared" si="78"/>
        <v>4006.4444444444443</v>
      </c>
      <c r="S546" s="34">
        <f t="shared" si="79"/>
        <v>227053200</v>
      </c>
      <c r="T546" s="33">
        <f t="shared" si="80"/>
        <v>4006.4444444444443</v>
      </c>
      <c r="U546" s="42">
        <f t="shared" si="81"/>
        <v>227053200</v>
      </c>
      <c r="V546" s="44"/>
      <c r="W546" s="29">
        <f t="shared" si="97"/>
        <v>909676031733.33325</v>
      </c>
      <c r="X546" s="41">
        <f t="shared" si="82"/>
        <v>39.726561885084891</v>
      </c>
      <c r="Y546" s="33">
        <f t="shared" si="83"/>
        <v>976.61117175179561</v>
      </c>
      <c r="Z546" s="33">
        <v>0.8</v>
      </c>
      <c r="AA546" s="29">
        <f t="shared" si="84"/>
        <v>781.28893740143656</v>
      </c>
      <c r="AB546" s="48">
        <f t="shared" si="85"/>
        <v>9689.370975760834</v>
      </c>
      <c r="AD546" s="47">
        <f t="shared" si="86"/>
        <v>0</v>
      </c>
    </row>
    <row r="547" spans="1:30" x14ac:dyDescent="0.2">
      <c r="A547" s="30" t="s">
        <v>2846</v>
      </c>
      <c r="B547" s="29">
        <v>1</v>
      </c>
      <c r="C547" s="29">
        <v>1</v>
      </c>
      <c r="D547" s="29">
        <v>222</v>
      </c>
      <c r="E547" s="29">
        <v>90000</v>
      </c>
      <c r="F547" s="29">
        <v>2000</v>
      </c>
      <c r="G547" s="29">
        <v>2000</v>
      </c>
      <c r="H547" s="29">
        <v>74000</v>
      </c>
      <c r="I547" s="29">
        <v>5000</v>
      </c>
      <c r="J547" s="29">
        <v>80000000</v>
      </c>
      <c r="K547" s="29">
        <v>2000</v>
      </c>
      <c r="L547" s="29">
        <v>2996</v>
      </c>
      <c r="N547" s="34"/>
      <c r="O547" s="29">
        <f t="shared" si="77"/>
        <v>2498</v>
      </c>
      <c r="P547" s="32" cm="1">
        <f t="array" ref="P547">WPNFACTOR(C547)</f>
        <v>2</v>
      </c>
      <c r="Q547" s="34" cm="1">
        <f t="array" ref="Q547">HPFACTOr(C547)</f>
        <v>5</v>
      </c>
      <c r="R547" s="33">
        <f t="shared" si="78"/>
        <v>1249</v>
      </c>
      <c r="S547" s="34">
        <f t="shared" si="79"/>
        <v>16000000</v>
      </c>
      <c r="T547" s="33">
        <f t="shared" si="80"/>
        <v>1249</v>
      </c>
      <c r="U547" s="42">
        <f t="shared" si="81"/>
        <v>16000000</v>
      </c>
      <c r="V547" s="44"/>
      <c r="W547" s="29">
        <f t="shared" si="97"/>
        <v>19984000000</v>
      </c>
      <c r="X547" s="41">
        <f t="shared" si="82"/>
        <v>34.21812633093213</v>
      </c>
      <c r="Y547" s="33">
        <f t="shared" si="83"/>
        <v>375.98507467262357</v>
      </c>
      <c r="Z547" s="33">
        <v>0.8</v>
      </c>
      <c r="AA547" s="29">
        <f t="shared" si="84"/>
        <v>300.78805973809887</v>
      </c>
      <c r="AB547" s="48">
        <f t="shared" si="85"/>
        <v>2713.6935787860584</v>
      </c>
      <c r="AD547" s="47">
        <f t="shared" si="86"/>
        <v>0</v>
      </c>
    </row>
    <row r="548" spans="1:30" x14ac:dyDescent="0.2">
      <c r="A548" s="30" t="s">
        <v>2846</v>
      </c>
      <c r="B548" s="29">
        <v>2</v>
      </c>
      <c r="C548" s="29">
        <v>1</v>
      </c>
      <c r="D548" s="29">
        <v>244</v>
      </c>
      <c r="E548" s="29">
        <v>100000</v>
      </c>
      <c r="F548" s="29">
        <v>2500</v>
      </c>
      <c r="G548" s="29">
        <v>2500</v>
      </c>
      <c r="H548" s="29">
        <v>84000</v>
      </c>
      <c r="I548" s="29">
        <v>6000</v>
      </c>
      <c r="J548" s="29">
        <v>100000000</v>
      </c>
      <c r="K548" s="29">
        <v>2400</v>
      </c>
      <c r="L548" s="29">
        <v>3399</v>
      </c>
      <c r="N548" s="34"/>
      <c r="O548" s="29">
        <f t="shared" si="77"/>
        <v>2899.5</v>
      </c>
      <c r="P548" s="32" cm="1">
        <f t="array" ref="P548">WPNFACTOR(C548)</f>
        <v>2</v>
      </c>
      <c r="Q548" s="34" cm="1">
        <f t="array" ref="Q548">HPFACTOr(C548)</f>
        <v>5</v>
      </c>
      <c r="R548" s="33">
        <f t="shared" si="78"/>
        <v>1449.75</v>
      </c>
      <c r="S548" s="34">
        <f t="shared" si="79"/>
        <v>20000000</v>
      </c>
      <c r="T548" s="33">
        <f t="shared" si="80"/>
        <v>1449.75</v>
      </c>
      <c r="U548" s="42">
        <f t="shared" si="81"/>
        <v>20000000</v>
      </c>
      <c r="V548" s="44"/>
      <c r="W548" s="29">
        <f t="shared" si="97"/>
        <v>28995000000</v>
      </c>
      <c r="X548" s="41">
        <f t="shared" si="82"/>
        <v>34.755085087143932</v>
      </c>
      <c r="Y548" s="33">
        <f t="shared" si="83"/>
        <v>412.64898221241418</v>
      </c>
      <c r="Z548" s="33">
        <v>0.8</v>
      </c>
      <c r="AA548" s="29">
        <f t="shared" si="84"/>
        <v>330.11918576993139</v>
      </c>
      <c r="AB548" s="48">
        <f t="shared" si="85"/>
        <v>3072.1402456046671</v>
      </c>
      <c r="AD548" s="47">
        <f t="shared" si="86"/>
        <v>0</v>
      </c>
    </row>
    <row r="549" spans="1:30" x14ac:dyDescent="0.2">
      <c r="A549" s="30" t="s">
        <v>2846</v>
      </c>
      <c r="B549" s="29">
        <v>3</v>
      </c>
      <c r="C549" s="29">
        <v>2</v>
      </c>
      <c r="D549" s="29">
        <v>266</v>
      </c>
      <c r="E549" s="29">
        <v>3000</v>
      </c>
      <c r="F549" s="29">
        <v>3000</v>
      </c>
      <c r="G549" s="29">
        <v>120000</v>
      </c>
      <c r="H549" s="29">
        <v>100000</v>
      </c>
      <c r="I549" s="29">
        <v>7200</v>
      </c>
      <c r="J549" s="29">
        <v>120000000</v>
      </c>
      <c r="K549" s="29">
        <v>6304</v>
      </c>
      <c r="L549" s="29">
        <v>8544</v>
      </c>
      <c r="N549" s="34"/>
      <c r="O549" s="29">
        <f t="shared" si="77"/>
        <v>7424</v>
      </c>
      <c r="P549" s="32" cm="1">
        <f t="array" ref="P549">WPNFACTOR(C549)</f>
        <v>4.5</v>
      </c>
      <c r="Q549" s="34" cm="1">
        <f t="array" ref="Q549">HPFACTOr(C549)</f>
        <v>2</v>
      </c>
      <c r="R549" s="33">
        <f t="shared" si="78"/>
        <v>1649.7777777777778</v>
      </c>
      <c r="S549" s="34">
        <f t="shared" si="79"/>
        <v>60000000</v>
      </c>
      <c r="T549" s="33">
        <f t="shared" si="80"/>
        <v>1649.7777777777778</v>
      </c>
      <c r="U549" s="42">
        <f t="shared" si="81"/>
        <v>60000000</v>
      </c>
      <c r="V549" s="44"/>
      <c r="W549" s="29">
        <f t="shared" si="97"/>
        <v>98986666666.666672</v>
      </c>
      <c r="X549" s="41">
        <f t="shared" si="82"/>
        <v>36.526515158617954</v>
      </c>
      <c r="Y549" s="33">
        <f t="shared" si="83"/>
        <v>560.911281469767</v>
      </c>
      <c r="Z549" s="33">
        <v>0.8</v>
      </c>
      <c r="AA549" s="29">
        <f t="shared" si="84"/>
        <v>448.7290251758136</v>
      </c>
      <c r="AB549" s="48">
        <f t="shared" si="85"/>
        <v>4625.8573201724439</v>
      </c>
      <c r="AD549" s="47">
        <f t="shared" si="86"/>
        <v>0</v>
      </c>
    </row>
    <row r="550" spans="1:30" x14ac:dyDescent="0.2">
      <c r="A550" s="30" t="s">
        <v>2846</v>
      </c>
      <c r="B550" s="29">
        <v>4</v>
      </c>
      <c r="C550" s="29">
        <v>3</v>
      </c>
      <c r="D550" s="29">
        <v>288</v>
      </c>
      <c r="E550" s="29">
        <v>3500</v>
      </c>
      <c r="F550" s="29">
        <v>140000</v>
      </c>
      <c r="G550" s="29">
        <v>3500</v>
      </c>
      <c r="H550" s="29">
        <v>120000</v>
      </c>
      <c r="I550" s="29">
        <v>8600</v>
      </c>
      <c r="J550" s="29">
        <v>144000000</v>
      </c>
      <c r="K550" s="29">
        <v>4001</v>
      </c>
      <c r="L550" s="29">
        <v>5249</v>
      </c>
      <c r="N550" s="34"/>
      <c r="O550" s="29">
        <f t="shared" si="77"/>
        <v>4625</v>
      </c>
      <c r="P550" s="32" cm="1">
        <f t="array" ref="P550">WPNFACTOR(C550)</f>
        <v>2.5</v>
      </c>
      <c r="Q550" s="34" cm="1">
        <f t="array" ref="Q550">HPFACTOr(C550)</f>
        <v>4</v>
      </c>
      <c r="R550" s="33">
        <f t="shared" si="78"/>
        <v>1850</v>
      </c>
      <c r="S550" s="34">
        <f t="shared" si="79"/>
        <v>36000000</v>
      </c>
      <c r="T550" s="33">
        <f t="shared" si="80"/>
        <v>1850</v>
      </c>
      <c r="U550" s="42">
        <f t="shared" si="81"/>
        <v>36000000</v>
      </c>
      <c r="V550" s="44"/>
      <c r="W550" s="29">
        <f t="shared" si="97"/>
        <v>66600000000</v>
      </c>
      <c r="X550" s="41">
        <f t="shared" si="82"/>
        <v>35.954803126170162</v>
      </c>
      <c r="Y550" s="33">
        <f t="shared" si="83"/>
        <v>508.00566730232333</v>
      </c>
      <c r="Z550" s="33">
        <v>0.8</v>
      </c>
      <c r="AA550" s="29">
        <f t="shared" si="84"/>
        <v>406.40453384185867</v>
      </c>
      <c r="AB550" s="48">
        <f t="shared" si="85"/>
        <v>4053.4492791548591</v>
      </c>
      <c r="AD550" s="47">
        <f t="shared" si="86"/>
        <v>0</v>
      </c>
    </row>
    <row r="551" spans="1:30" x14ac:dyDescent="0.2">
      <c r="A551" s="30" t="s">
        <v>2846</v>
      </c>
      <c r="B551" s="29">
        <v>5</v>
      </c>
      <c r="C551" s="29">
        <v>2</v>
      </c>
      <c r="D551" s="29">
        <v>333</v>
      </c>
      <c r="E551" s="29">
        <v>4000</v>
      </c>
      <c r="F551" s="29">
        <v>4000</v>
      </c>
      <c r="G551" s="29">
        <v>180000</v>
      </c>
      <c r="H551" s="29">
        <v>144000</v>
      </c>
      <c r="I551" s="29">
        <v>10300</v>
      </c>
      <c r="J551" s="29">
        <v>172000000</v>
      </c>
      <c r="K551" s="29">
        <v>7885</v>
      </c>
      <c r="L551" s="29">
        <v>10348</v>
      </c>
      <c r="N551" s="34"/>
      <c r="O551" s="29">
        <f t="shared" si="77"/>
        <v>9116.5</v>
      </c>
      <c r="P551" s="32" cm="1">
        <f t="array" ref="P551">WPNFACTOR(C551)</f>
        <v>4.5</v>
      </c>
      <c r="Q551" s="34" cm="1">
        <f t="array" ref="Q551">HPFACTOr(C551)</f>
        <v>2</v>
      </c>
      <c r="R551" s="33">
        <f t="shared" si="78"/>
        <v>2025.8888888888889</v>
      </c>
      <c r="S551" s="34">
        <f t="shared" si="79"/>
        <v>86000000</v>
      </c>
      <c r="T551" s="33">
        <f t="shared" si="80"/>
        <v>2025.8888888888889</v>
      </c>
      <c r="U551" s="42">
        <f t="shared" si="81"/>
        <v>86000000</v>
      </c>
      <c r="V551" s="44"/>
      <c r="W551" s="29">
        <f t="shared" si="97"/>
        <v>174226444444.44446</v>
      </c>
      <c r="X551" s="41">
        <f t="shared" si="82"/>
        <v>37.342172659508179</v>
      </c>
      <c r="Y551" s="33">
        <f t="shared" si="83"/>
        <v>646.0684279100193</v>
      </c>
      <c r="Z551" s="33">
        <v>0.8</v>
      </c>
      <c r="AA551" s="29">
        <f t="shared" si="84"/>
        <v>516.8547423280155</v>
      </c>
      <c r="AB551" s="48">
        <f t="shared" si="85"/>
        <v>5585.1909365619567</v>
      </c>
      <c r="AD551" s="47">
        <f t="shared" si="86"/>
        <v>0</v>
      </c>
    </row>
    <row r="552" spans="1:30" x14ac:dyDescent="0.2">
      <c r="A552" s="30" t="s">
        <v>2846</v>
      </c>
      <c r="B552" s="29">
        <v>6</v>
      </c>
      <c r="C552" s="29">
        <v>2</v>
      </c>
      <c r="D552" s="29">
        <v>366</v>
      </c>
      <c r="E552" s="29">
        <v>4500</v>
      </c>
      <c r="F552" s="29">
        <v>4500</v>
      </c>
      <c r="G552" s="29">
        <v>215000</v>
      </c>
      <c r="H552" s="29">
        <v>172000</v>
      </c>
      <c r="I552" s="29">
        <v>12400</v>
      </c>
      <c r="J552" s="29">
        <v>206000000</v>
      </c>
      <c r="K552" s="29">
        <v>9015</v>
      </c>
      <c r="L552" s="29">
        <v>11236</v>
      </c>
      <c r="N552" s="34"/>
      <c r="O552" s="29">
        <f t="shared" ref="O552:O615" si="98">AVERAGE(K552, L552)</f>
        <v>10125.5</v>
      </c>
      <c r="P552" s="32" cm="1">
        <f t="array" ref="P552">WPNFACTOR(C552)</f>
        <v>4.5</v>
      </c>
      <c r="Q552" s="34" cm="1">
        <f t="array" ref="Q552">HPFACTOr(C552)</f>
        <v>2</v>
      </c>
      <c r="R552" s="33">
        <f t="shared" ref="R552:R615" si="99">O552/P552</f>
        <v>2250.1111111111113</v>
      </c>
      <c r="S552" s="34">
        <f t="shared" ref="S552:S615" si="100">J552/Q552</f>
        <v>103000000</v>
      </c>
      <c r="T552" s="33">
        <f t="shared" ref="T552:T615" si="101">R552*(1 + (N552/400))</f>
        <v>2250.1111111111113</v>
      </c>
      <c r="U552" s="42">
        <f t="shared" ref="U552:U615" si="102">S552*1.6/(1 + (0.6*(1 - (M552/100))))</f>
        <v>103000000</v>
      </c>
      <c r="V552" s="44"/>
      <c r="W552" s="29">
        <f t="shared" si="97"/>
        <v>231761444444.44446</v>
      </c>
      <c r="X552" s="41">
        <f t="shared" ref="X552:X615" si="103">LOG(W552, 2)</f>
        <v>37.753849625052283</v>
      </c>
      <c r="Y552" s="33">
        <f t="shared" si="83"/>
        <v>693.84153987279603</v>
      </c>
      <c r="Z552" s="33">
        <v>0.8</v>
      </c>
      <c r="AA552" s="29">
        <f t="shared" si="84"/>
        <v>555.07323189823683</v>
      </c>
      <c r="AB552" s="48">
        <f t="shared" si="85"/>
        <v>6142.5268421758137</v>
      </c>
      <c r="AD552" s="47">
        <f t="shared" si="86"/>
        <v>0</v>
      </c>
    </row>
    <row r="553" spans="1:30" x14ac:dyDescent="0.2">
      <c r="A553" s="30" t="s">
        <v>2846</v>
      </c>
      <c r="B553" s="29">
        <v>7</v>
      </c>
      <c r="C553" s="29">
        <v>2</v>
      </c>
      <c r="D553" s="29">
        <v>399</v>
      </c>
      <c r="E553" s="29">
        <v>5000</v>
      </c>
      <c r="F553" s="29">
        <v>5000</v>
      </c>
      <c r="G553" s="29">
        <v>240000</v>
      </c>
      <c r="H553" s="29">
        <v>206000</v>
      </c>
      <c r="I553" s="29">
        <v>15000</v>
      </c>
      <c r="J553" s="29">
        <v>248000000</v>
      </c>
      <c r="K553" s="29">
        <v>10125</v>
      </c>
      <c r="L553" s="29">
        <v>13498</v>
      </c>
      <c r="N553" s="34"/>
      <c r="O553" s="29">
        <f t="shared" si="98"/>
        <v>11811.5</v>
      </c>
      <c r="P553" s="32" cm="1">
        <f t="array" ref="P553">WPNFACTOR(C553)</f>
        <v>4.5</v>
      </c>
      <c r="Q553" s="34" cm="1">
        <f t="array" ref="Q553">HPFACTOr(C553)</f>
        <v>2</v>
      </c>
      <c r="R553" s="33">
        <f t="shared" si="99"/>
        <v>2624.7777777777778</v>
      </c>
      <c r="S553" s="34">
        <f t="shared" si="100"/>
        <v>124000000</v>
      </c>
      <c r="T553" s="33">
        <f t="shared" si="101"/>
        <v>2624.7777777777778</v>
      </c>
      <c r="U553" s="42">
        <f t="shared" si="102"/>
        <v>124000000</v>
      </c>
      <c r="V553" s="44"/>
      <c r="W553" s="29">
        <f t="shared" si="97"/>
        <v>325472444444.44446</v>
      </c>
      <c r="X553" s="41">
        <f t="shared" si="103"/>
        <v>38.243744449068444</v>
      </c>
      <c r="Y553" s="33">
        <f t="shared" ref="Y553:Y616" si="104">POWER(W553, 1/4)</f>
        <v>755.31577718259723</v>
      </c>
      <c r="Z553" s="33">
        <v>0.8</v>
      </c>
      <c r="AA553" s="29">
        <f t="shared" ref="AA553:AA616" si="105">Y553*Z553</f>
        <v>604.25262174607781</v>
      </c>
      <c r="AB553" s="48">
        <f t="shared" ref="AB553:AB616" si="106">POWER(W553, 1/$AB$1)</f>
        <v>6878.674228245909</v>
      </c>
      <c r="AD553" s="47">
        <f t="shared" ref="AD553:AD616" si="107">IF(AC553 = "", ,AC553/AB553)</f>
        <v>0</v>
      </c>
    </row>
    <row r="554" spans="1:30" x14ac:dyDescent="0.2">
      <c r="A554" s="30" t="s">
        <v>2846</v>
      </c>
      <c r="B554" s="29">
        <v>8</v>
      </c>
      <c r="C554" s="29">
        <v>5</v>
      </c>
      <c r="D554" s="29">
        <v>444</v>
      </c>
      <c r="E554" s="29">
        <v>290000</v>
      </c>
      <c r="F554" s="29">
        <v>6000</v>
      </c>
      <c r="G554" s="29">
        <v>6000</v>
      </c>
      <c r="H554" s="29">
        <v>248000</v>
      </c>
      <c r="I554" s="29">
        <v>18000</v>
      </c>
      <c r="J554" s="29">
        <v>300000000</v>
      </c>
      <c r="K554" s="29">
        <v>5001</v>
      </c>
      <c r="L554" s="29">
        <v>6499</v>
      </c>
      <c r="N554" s="34"/>
      <c r="O554" s="29">
        <f t="shared" si="98"/>
        <v>5750</v>
      </c>
      <c r="P554" s="32" cm="1">
        <f t="array" ref="P554">WPNFACTOR(C554)</f>
        <v>2</v>
      </c>
      <c r="Q554" s="34" cm="1">
        <f t="array" ref="Q554">HPFACTOr(C554)</f>
        <v>5</v>
      </c>
      <c r="R554" s="33">
        <f t="shared" si="99"/>
        <v>2875</v>
      </c>
      <c r="S554" s="34">
        <f t="shared" si="100"/>
        <v>60000000</v>
      </c>
      <c r="T554" s="33">
        <f t="shared" si="101"/>
        <v>2875</v>
      </c>
      <c r="U554" s="42">
        <f t="shared" si="102"/>
        <v>60000000</v>
      </c>
      <c r="V554" s="44"/>
      <c r="W554" s="29">
        <f t="shared" si="97"/>
        <v>172500000000</v>
      </c>
      <c r="X554" s="41">
        <f t="shared" si="103"/>
        <v>37.327805405651795</v>
      </c>
      <c r="Y554" s="33">
        <f t="shared" si="104"/>
        <v>644.46194080481121</v>
      </c>
      <c r="Z554" s="33">
        <v>0.8</v>
      </c>
      <c r="AA554" s="29">
        <f t="shared" si="105"/>
        <v>515.56955264384897</v>
      </c>
      <c r="AB554" s="48">
        <f t="shared" si="106"/>
        <v>5566.6814076047549</v>
      </c>
      <c r="AD554" s="47">
        <f t="shared" si="107"/>
        <v>0</v>
      </c>
    </row>
    <row r="555" spans="1:30" x14ac:dyDescent="0.2">
      <c r="A555" s="30" t="s">
        <v>2846</v>
      </c>
      <c r="B555" s="29">
        <v>9</v>
      </c>
      <c r="C555" s="29">
        <v>6</v>
      </c>
      <c r="D555" s="29">
        <v>488</v>
      </c>
      <c r="E555" s="29">
        <v>350000</v>
      </c>
      <c r="F555" s="29">
        <v>7000</v>
      </c>
      <c r="G555" s="29">
        <v>7000</v>
      </c>
      <c r="H555" s="29">
        <v>300000</v>
      </c>
      <c r="I555" s="29">
        <v>21500</v>
      </c>
      <c r="J555" s="29">
        <v>360000000</v>
      </c>
      <c r="K555" s="29">
        <v>4465</v>
      </c>
      <c r="L555" s="29">
        <v>6102</v>
      </c>
      <c r="N555" s="34"/>
      <c r="O555" s="29">
        <f t="shared" si="98"/>
        <v>5283.5</v>
      </c>
      <c r="P555" s="32" cm="1">
        <f t="array" ref="P555">WPNFACTOR(C555)</f>
        <v>2</v>
      </c>
      <c r="Q555" s="34" cm="1">
        <f t="array" ref="Q555">HPFACTOr(C555)</f>
        <v>4</v>
      </c>
      <c r="R555" s="33">
        <f t="shared" si="99"/>
        <v>2641.75</v>
      </c>
      <c r="S555" s="34">
        <f t="shared" si="100"/>
        <v>90000000</v>
      </c>
      <c r="T555" s="33">
        <f t="shared" si="101"/>
        <v>2641.75</v>
      </c>
      <c r="U555" s="42">
        <f t="shared" si="102"/>
        <v>90000000</v>
      </c>
      <c r="V555" s="44"/>
      <c r="W555" s="29">
        <f t="shared" si="97"/>
        <v>237757500000</v>
      </c>
      <c r="X555" s="41">
        <f t="shared" si="103"/>
        <v>37.790699895013574</v>
      </c>
      <c r="Y555" s="33">
        <f t="shared" si="104"/>
        <v>698.28635608585716</v>
      </c>
      <c r="Z555" s="33">
        <v>0.8</v>
      </c>
      <c r="AA555" s="29">
        <f t="shared" si="105"/>
        <v>558.62908486868571</v>
      </c>
      <c r="AB555" s="48">
        <f t="shared" si="106"/>
        <v>6195.0489436379194</v>
      </c>
      <c r="AD555" s="47">
        <f t="shared" si="107"/>
        <v>0</v>
      </c>
    </row>
    <row r="556" spans="1:30" x14ac:dyDescent="0.2">
      <c r="A556" s="30" t="s">
        <v>2846</v>
      </c>
      <c r="B556" s="29">
        <v>10</v>
      </c>
      <c r="C556" s="29">
        <v>4</v>
      </c>
      <c r="D556" s="29">
        <v>555</v>
      </c>
      <c r="E556" s="29">
        <v>10000</v>
      </c>
      <c r="F556" s="29">
        <v>400000</v>
      </c>
      <c r="G556" s="29">
        <v>10000</v>
      </c>
      <c r="H556" s="29">
        <v>360000</v>
      </c>
      <c r="I556" s="29">
        <v>24000</v>
      </c>
      <c r="J556" s="29">
        <v>430000000</v>
      </c>
      <c r="K556" s="29">
        <v>12001</v>
      </c>
      <c r="L556" s="29">
        <v>15998</v>
      </c>
      <c r="N556" s="34"/>
      <c r="O556" s="29">
        <f t="shared" si="98"/>
        <v>13999.5</v>
      </c>
      <c r="P556" s="32" cm="1">
        <f t="array" ref="P556">WPNFACTOR(C556)</f>
        <v>4</v>
      </c>
      <c r="Q556" s="34" cm="1">
        <f t="array" ref="Q556">HPFACTOr(C556)</f>
        <v>4</v>
      </c>
      <c r="R556" s="33">
        <f t="shared" si="99"/>
        <v>3499.875</v>
      </c>
      <c r="S556" s="34">
        <f t="shared" si="100"/>
        <v>107500000</v>
      </c>
      <c r="T556" s="33">
        <f t="shared" si="101"/>
        <v>3499.875</v>
      </c>
      <c r="U556" s="42">
        <f t="shared" si="102"/>
        <v>107500000</v>
      </c>
      <c r="V556" s="44"/>
      <c r="W556" s="29">
        <f t="shared" si="97"/>
        <v>376236562500</v>
      </c>
      <c r="X556" s="41">
        <f t="shared" si="103"/>
        <v>38.452849099890329</v>
      </c>
      <c r="Y556" s="33">
        <f t="shared" si="104"/>
        <v>783.18660215123123</v>
      </c>
      <c r="Z556" s="33">
        <v>0.8</v>
      </c>
      <c r="AA556" s="29">
        <f t="shared" si="105"/>
        <v>626.54928172098505</v>
      </c>
      <c r="AB556" s="48">
        <f t="shared" si="106"/>
        <v>7219.1655183318562</v>
      </c>
      <c r="AD556" s="47">
        <f t="shared" si="107"/>
        <v>0</v>
      </c>
    </row>
    <row r="557" spans="1:30" x14ac:dyDescent="0.2">
      <c r="A557" s="30" t="s">
        <v>2846</v>
      </c>
      <c r="B557" s="29">
        <v>11</v>
      </c>
      <c r="C557" s="29">
        <v>2</v>
      </c>
      <c r="D557" s="29">
        <v>557</v>
      </c>
      <c r="E557" s="29">
        <v>10100</v>
      </c>
      <c r="F557" s="29">
        <v>10100</v>
      </c>
      <c r="G557" s="29">
        <v>404000</v>
      </c>
      <c r="H557" s="29">
        <v>361800</v>
      </c>
      <c r="I557" s="29">
        <v>24240</v>
      </c>
      <c r="J557" s="29">
        <v>403768800</v>
      </c>
      <c r="K557" s="29">
        <v>13636</v>
      </c>
      <c r="L557" s="29">
        <v>18177</v>
      </c>
      <c r="N557" s="34"/>
      <c r="O557" s="29">
        <f t="shared" si="98"/>
        <v>15906.5</v>
      </c>
      <c r="P557" s="32" cm="1">
        <f t="array" ref="P557">WPNFACTOR(C557)</f>
        <v>4.5</v>
      </c>
      <c r="Q557" s="34" cm="1">
        <f t="array" ref="Q557">HPFACTOr(C557)</f>
        <v>2</v>
      </c>
      <c r="R557" s="33">
        <f t="shared" si="99"/>
        <v>3534.7777777777778</v>
      </c>
      <c r="S557" s="34">
        <f t="shared" si="100"/>
        <v>201884400</v>
      </c>
      <c r="T557" s="33">
        <f t="shared" si="101"/>
        <v>3534.7777777777778</v>
      </c>
      <c r="U557" s="42">
        <f t="shared" si="102"/>
        <v>201884400</v>
      </c>
      <c r="V557" s="44"/>
      <c r="W557" s="29">
        <f t="shared" si="97"/>
        <v>713616490800</v>
      </c>
      <c r="X557" s="41">
        <f t="shared" si="103"/>
        <v>39.376357998313608</v>
      </c>
      <c r="Y557" s="33">
        <f t="shared" si="104"/>
        <v>919.10730820534252</v>
      </c>
      <c r="Z557" s="33">
        <v>0.8</v>
      </c>
      <c r="AA557" s="29">
        <f t="shared" si="105"/>
        <v>735.28584656427404</v>
      </c>
      <c r="AB557" s="48">
        <f t="shared" si="106"/>
        <v>8936.2427795335898</v>
      </c>
      <c r="AD557" s="47">
        <f t="shared" si="107"/>
        <v>0</v>
      </c>
    </row>
    <row r="558" spans="1:30" x14ac:dyDescent="0.2">
      <c r="A558" s="30" t="s">
        <v>2846</v>
      </c>
      <c r="B558" s="29">
        <v>12</v>
      </c>
      <c r="C558" s="29">
        <v>3</v>
      </c>
      <c r="D558" s="29">
        <v>559</v>
      </c>
      <c r="E558" s="29">
        <v>10200</v>
      </c>
      <c r="F558" s="29">
        <v>408040</v>
      </c>
      <c r="G558" s="29">
        <v>10200</v>
      </c>
      <c r="H558" s="29">
        <v>363600</v>
      </c>
      <c r="I558" s="29">
        <v>24480</v>
      </c>
      <c r="J558" s="29">
        <v>814464000</v>
      </c>
      <c r="K558" s="29">
        <v>7653</v>
      </c>
      <c r="L558" s="29">
        <v>10198</v>
      </c>
      <c r="N558" s="34"/>
      <c r="O558" s="29">
        <f t="shared" si="98"/>
        <v>8925.5</v>
      </c>
      <c r="P558" s="32" cm="1">
        <f t="array" ref="P558">WPNFACTOR(C558)</f>
        <v>2.5</v>
      </c>
      <c r="Q558" s="34" cm="1">
        <f t="array" ref="Q558">HPFACTOr(C558)</f>
        <v>4</v>
      </c>
      <c r="R558" s="33">
        <f t="shared" si="99"/>
        <v>3570.2</v>
      </c>
      <c r="S558" s="34">
        <f t="shared" si="100"/>
        <v>203616000</v>
      </c>
      <c r="T558" s="33">
        <f t="shared" si="101"/>
        <v>3570.2</v>
      </c>
      <c r="U558" s="42">
        <f t="shared" si="102"/>
        <v>203616000</v>
      </c>
      <c r="V558" s="44"/>
      <c r="W558" s="29">
        <f t="shared" si="97"/>
        <v>726949843200</v>
      </c>
      <c r="X558" s="41">
        <f t="shared" si="103"/>
        <v>39.403064870817978</v>
      </c>
      <c r="Y558" s="33">
        <f t="shared" si="104"/>
        <v>923.37074722905834</v>
      </c>
      <c r="Z558" s="33">
        <v>0.8</v>
      </c>
      <c r="AA558" s="29">
        <f t="shared" si="105"/>
        <v>738.69659778324672</v>
      </c>
      <c r="AB558" s="48">
        <f t="shared" si="106"/>
        <v>8991.5552194058127</v>
      </c>
      <c r="AD558" s="47">
        <f t="shared" si="107"/>
        <v>0</v>
      </c>
    </row>
    <row r="559" spans="1:30" x14ac:dyDescent="0.2">
      <c r="A559" s="30" t="s">
        <v>2846</v>
      </c>
      <c r="B559" s="29">
        <v>13</v>
      </c>
      <c r="C559" s="29">
        <v>5</v>
      </c>
      <c r="D559" s="29">
        <v>561</v>
      </c>
      <c r="E559" s="29">
        <v>412120</v>
      </c>
      <c r="F559" s="29">
        <v>10300</v>
      </c>
      <c r="G559" s="29">
        <v>10300</v>
      </c>
      <c r="H559" s="29">
        <v>365410</v>
      </c>
      <c r="I559" s="29">
        <v>24720</v>
      </c>
      <c r="J559" s="29">
        <v>1026802112</v>
      </c>
      <c r="K559" s="29">
        <v>6182</v>
      </c>
      <c r="L559" s="29">
        <v>8241</v>
      </c>
      <c r="N559" s="34"/>
      <c r="O559" s="29">
        <f t="shared" si="98"/>
        <v>7211.5</v>
      </c>
      <c r="P559" s="32" cm="1">
        <f t="array" ref="P559">WPNFACTOR(C559)</f>
        <v>2</v>
      </c>
      <c r="Q559" s="34" cm="1">
        <f t="array" ref="Q559">HPFACTOr(C559)</f>
        <v>5</v>
      </c>
      <c r="R559" s="33">
        <f t="shared" si="99"/>
        <v>3605.75</v>
      </c>
      <c r="S559" s="34">
        <f t="shared" si="100"/>
        <v>205360422.40000001</v>
      </c>
      <c r="T559" s="33">
        <f t="shared" si="101"/>
        <v>3605.75</v>
      </c>
      <c r="U559" s="42">
        <f t="shared" si="102"/>
        <v>205360422.40000001</v>
      </c>
      <c r="V559" s="44"/>
      <c r="W559" s="29">
        <f t="shared" si="97"/>
        <v>740478343068.80005</v>
      </c>
      <c r="X559" s="41">
        <f t="shared" si="103"/>
        <v>39.429666585076404</v>
      </c>
      <c r="Y559" s="33">
        <f t="shared" si="104"/>
        <v>927.63705890264555</v>
      </c>
      <c r="Z559" s="33">
        <v>0.8</v>
      </c>
      <c r="AA559" s="29">
        <f t="shared" si="105"/>
        <v>742.10964712211648</v>
      </c>
      <c r="AB559" s="48">
        <f t="shared" si="106"/>
        <v>9046.9902105094588</v>
      </c>
      <c r="AD559" s="47">
        <f t="shared" si="107"/>
        <v>0</v>
      </c>
    </row>
    <row r="560" spans="1:30" x14ac:dyDescent="0.2">
      <c r="A560" s="30" t="s">
        <v>2846</v>
      </c>
      <c r="B560" s="29">
        <v>14</v>
      </c>
      <c r="C560" s="29">
        <v>1</v>
      </c>
      <c r="D560" s="29">
        <v>563</v>
      </c>
      <c r="E560" s="29">
        <v>416240</v>
      </c>
      <c r="F560" s="29">
        <v>10400</v>
      </c>
      <c r="G560" s="29">
        <v>10400</v>
      </c>
      <c r="H560" s="29">
        <v>367230</v>
      </c>
      <c r="I560" s="29">
        <v>24960</v>
      </c>
      <c r="J560" s="29">
        <v>1035588608</v>
      </c>
      <c r="K560" s="29">
        <v>6244</v>
      </c>
      <c r="L560" s="29">
        <v>8322</v>
      </c>
      <c r="N560" s="34"/>
      <c r="O560" s="29">
        <f t="shared" si="98"/>
        <v>7283</v>
      </c>
      <c r="P560" s="32" cm="1">
        <f t="array" ref="P560">WPNFACTOR(C560)</f>
        <v>2</v>
      </c>
      <c r="Q560" s="34" cm="1">
        <f t="array" ref="Q560">HPFACTOr(C560)</f>
        <v>5</v>
      </c>
      <c r="R560" s="33">
        <f t="shared" si="99"/>
        <v>3641.5</v>
      </c>
      <c r="S560" s="34">
        <f t="shared" si="100"/>
        <v>207117721.59999999</v>
      </c>
      <c r="T560" s="33">
        <f t="shared" si="101"/>
        <v>3641.5</v>
      </c>
      <c r="U560" s="42">
        <f t="shared" si="102"/>
        <v>207117721.59999999</v>
      </c>
      <c r="V560" s="44"/>
      <c r="W560" s="29">
        <f t="shared" si="97"/>
        <v>754219183206.40002</v>
      </c>
      <c r="X560" s="41">
        <f t="shared" si="103"/>
        <v>39.456192888969788</v>
      </c>
      <c r="Y560" s="33">
        <f t="shared" si="104"/>
        <v>931.9109045640563</v>
      </c>
      <c r="Z560" s="33">
        <v>0.8</v>
      </c>
      <c r="AA560" s="29">
        <f t="shared" si="105"/>
        <v>745.52872365124506</v>
      </c>
      <c r="AB560" s="48">
        <f t="shared" si="106"/>
        <v>9102.6083703678341</v>
      </c>
      <c r="AD560" s="47">
        <f t="shared" si="107"/>
        <v>0</v>
      </c>
    </row>
    <row r="561" spans="1:30" x14ac:dyDescent="0.2">
      <c r="A561" s="30" t="s">
        <v>2846</v>
      </c>
      <c r="B561" s="29">
        <v>15</v>
      </c>
      <c r="C561" s="29">
        <v>6</v>
      </c>
      <c r="D561" s="29">
        <v>565</v>
      </c>
      <c r="E561" s="29">
        <v>420400</v>
      </c>
      <c r="F561" s="29">
        <v>10500</v>
      </c>
      <c r="G561" s="29">
        <v>10500</v>
      </c>
      <c r="H561" s="29">
        <v>369060</v>
      </c>
      <c r="I561" s="29">
        <v>25210</v>
      </c>
      <c r="J561" s="29">
        <v>835551872</v>
      </c>
      <c r="K561" s="29">
        <v>5110</v>
      </c>
      <c r="L561" s="29">
        <v>7507</v>
      </c>
      <c r="N561" s="34"/>
      <c r="O561" s="29">
        <f t="shared" si="98"/>
        <v>6308.5</v>
      </c>
      <c r="P561" s="32" cm="1">
        <f t="array" ref="P561">WPNFACTOR(C561)</f>
        <v>2</v>
      </c>
      <c r="Q561" s="34" cm="1">
        <f t="array" ref="Q561">HPFACTOr(C561)</f>
        <v>4</v>
      </c>
      <c r="R561" s="33">
        <f t="shared" si="99"/>
        <v>3154.25</v>
      </c>
      <c r="S561" s="34">
        <f t="shared" si="100"/>
        <v>208887968</v>
      </c>
      <c r="T561" s="33">
        <f t="shared" si="101"/>
        <v>3154.25</v>
      </c>
      <c r="U561" s="42">
        <f t="shared" si="102"/>
        <v>208887968</v>
      </c>
      <c r="V561" s="44"/>
      <c r="W561" s="29">
        <f t="shared" si="97"/>
        <v>658884873064</v>
      </c>
      <c r="X561" s="41">
        <f t="shared" si="103"/>
        <v>39.261235448949527</v>
      </c>
      <c r="Y561" s="33">
        <f t="shared" si="104"/>
        <v>900.95351552462671</v>
      </c>
      <c r="Z561" s="33">
        <v>0.8</v>
      </c>
      <c r="AA561" s="29">
        <f t="shared" si="105"/>
        <v>720.76281241970139</v>
      </c>
      <c r="AB561" s="48">
        <f t="shared" si="106"/>
        <v>8701.6814166130371</v>
      </c>
      <c r="AD561" s="47">
        <f t="shared" si="107"/>
        <v>0</v>
      </c>
    </row>
    <row r="562" spans="1:30" x14ac:dyDescent="0.2">
      <c r="A562" s="30" t="s">
        <v>2846</v>
      </c>
      <c r="B562" s="29">
        <v>16</v>
      </c>
      <c r="C562" s="29">
        <v>2</v>
      </c>
      <c r="D562" s="29">
        <v>567</v>
      </c>
      <c r="E562" s="29">
        <v>10600</v>
      </c>
      <c r="F562" s="29">
        <v>10600</v>
      </c>
      <c r="G562" s="29">
        <v>424600</v>
      </c>
      <c r="H562" s="29">
        <v>370900</v>
      </c>
      <c r="I562" s="29">
        <v>25460</v>
      </c>
      <c r="J562" s="29">
        <v>421342400</v>
      </c>
      <c r="K562" s="29">
        <v>14335</v>
      </c>
      <c r="L562" s="29">
        <v>19104</v>
      </c>
      <c r="N562" s="34"/>
      <c r="O562" s="29">
        <f t="shared" si="98"/>
        <v>16719.5</v>
      </c>
      <c r="P562" s="32" cm="1">
        <f t="array" ref="P562">WPNFACTOR(C562)</f>
        <v>4.5</v>
      </c>
      <c r="Q562" s="34" cm="1">
        <f t="array" ref="Q562">HPFACTOr(C562)</f>
        <v>2</v>
      </c>
      <c r="R562" s="33">
        <f t="shared" si="99"/>
        <v>3715.4444444444443</v>
      </c>
      <c r="S562" s="34">
        <f t="shared" si="100"/>
        <v>210671200</v>
      </c>
      <c r="T562" s="33">
        <f t="shared" si="101"/>
        <v>3715.4444444444443</v>
      </c>
      <c r="U562" s="42">
        <f t="shared" si="102"/>
        <v>210671200</v>
      </c>
      <c r="V562" s="44"/>
      <c r="W562" s="29">
        <f t="shared" si="97"/>
        <v>782737139644.44446</v>
      </c>
      <c r="X562" s="41">
        <f t="shared" si="103"/>
        <v>39.50973694386898</v>
      </c>
      <c r="Y562" s="33">
        <f t="shared" si="104"/>
        <v>940.59785761289311</v>
      </c>
      <c r="Z562" s="33">
        <v>0.8</v>
      </c>
      <c r="AA562" s="29">
        <f t="shared" si="105"/>
        <v>752.47828609031455</v>
      </c>
      <c r="AB562" s="48">
        <f t="shared" si="106"/>
        <v>9215.9189563910149</v>
      </c>
      <c r="AD562" s="47">
        <f t="shared" si="107"/>
        <v>0</v>
      </c>
    </row>
    <row r="563" spans="1:30" x14ac:dyDescent="0.2">
      <c r="A563" s="30" t="s">
        <v>2846</v>
      </c>
      <c r="B563" s="29">
        <v>17</v>
      </c>
      <c r="C563" s="29">
        <v>1</v>
      </c>
      <c r="D563" s="29">
        <v>569</v>
      </c>
      <c r="E563" s="29">
        <v>428840</v>
      </c>
      <c r="F563" s="29">
        <v>10700</v>
      </c>
      <c r="G563" s="29">
        <v>10700</v>
      </c>
      <c r="H563" s="29">
        <v>372750</v>
      </c>
      <c r="I563" s="29">
        <v>25710</v>
      </c>
      <c r="J563" s="29">
        <v>1062337472</v>
      </c>
      <c r="K563" s="29">
        <v>6432</v>
      </c>
      <c r="L563" s="29">
        <v>8569</v>
      </c>
      <c r="N563" s="34"/>
      <c r="O563" s="29">
        <f t="shared" si="98"/>
        <v>7500.5</v>
      </c>
      <c r="P563" s="32" cm="1">
        <f t="array" ref="P563">WPNFACTOR(C563)</f>
        <v>2</v>
      </c>
      <c r="Q563" s="34" cm="1">
        <f t="array" ref="Q563">HPFACTOr(C563)</f>
        <v>5</v>
      </c>
      <c r="R563" s="33">
        <f t="shared" si="99"/>
        <v>3750.25</v>
      </c>
      <c r="S563" s="34">
        <f t="shared" si="100"/>
        <v>212467494.40000001</v>
      </c>
      <c r="T563" s="33">
        <f t="shared" si="101"/>
        <v>3750.25</v>
      </c>
      <c r="U563" s="42">
        <f t="shared" si="102"/>
        <v>212467494.40000001</v>
      </c>
      <c r="V563" s="44"/>
      <c r="W563" s="29">
        <f t="shared" si="97"/>
        <v>796806220873.59998</v>
      </c>
      <c r="X563" s="41">
        <f t="shared" si="103"/>
        <v>39.535437954706708</v>
      </c>
      <c r="Y563" s="33">
        <f t="shared" si="104"/>
        <v>944.79628953558006</v>
      </c>
      <c r="Z563" s="33">
        <v>0.8</v>
      </c>
      <c r="AA563" s="29">
        <f t="shared" si="105"/>
        <v>755.83703162846405</v>
      </c>
      <c r="AB563" s="48">
        <f t="shared" si="106"/>
        <v>9270.8076834023977</v>
      </c>
      <c r="AD563" s="47">
        <f t="shared" si="107"/>
        <v>0</v>
      </c>
    </row>
    <row r="564" spans="1:30" x14ac:dyDescent="0.2">
      <c r="A564" s="30" t="s">
        <v>2846</v>
      </c>
      <c r="B564" s="29">
        <v>18</v>
      </c>
      <c r="C564" s="29">
        <v>2</v>
      </c>
      <c r="D564" s="29">
        <v>571</v>
      </c>
      <c r="E564" s="29">
        <v>10800</v>
      </c>
      <c r="F564" s="29">
        <v>10800</v>
      </c>
      <c r="G564" s="29">
        <v>433120</v>
      </c>
      <c r="H564" s="29">
        <v>374610</v>
      </c>
      <c r="I564" s="29">
        <v>25960</v>
      </c>
      <c r="J564" s="29">
        <v>428553856</v>
      </c>
      <c r="K564" s="29">
        <v>14620</v>
      </c>
      <c r="L564" s="29">
        <v>19487</v>
      </c>
      <c r="N564" s="34"/>
      <c r="O564" s="29">
        <f t="shared" si="98"/>
        <v>17053.5</v>
      </c>
      <c r="P564" s="32" cm="1">
        <f t="array" ref="P564">WPNFACTOR(C564)</f>
        <v>4.5</v>
      </c>
      <c r="Q564" s="34" cm="1">
        <f t="array" ref="Q564">HPFACTOr(C564)</f>
        <v>2</v>
      </c>
      <c r="R564" s="33">
        <f t="shared" si="99"/>
        <v>3789.6666666666665</v>
      </c>
      <c r="S564" s="34">
        <f t="shared" si="100"/>
        <v>214276928</v>
      </c>
      <c r="T564" s="33">
        <f t="shared" si="101"/>
        <v>3789.6666666666665</v>
      </c>
      <c r="U564" s="42">
        <f t="shared" si="102"/>
        <v>214276928</v>
      </c>
      <c r="V564" s="44"/>
      <c r="W564" s="29">
        <f t="shared" si="97"/>
        <v>812038131477.33325</v>
      </c>
      <c r="X564" s="41">
        <f t="shared" si="103"/>
        <v>39.562756518464063</v>
      </c>
      <c r="Y564" s="33">
        <f t="shared" si="104"/>
        <v>949.27950777747515</v>
      </c>
      <c r="Z564" s="33">
        <v>0.8</v>
      </c>
      <c r="AA564" s="29">
        <f t="shared" si="105"/>
        <v>759.42360622198021</v>
      </c>
      <c r="AB564" s="48">
        <f t="shared" si="106"/>
        <v>9329.509424171345</v>
      </c>
      <c r="AD564" s="47">
        <f t="shared" si="107"/>
        <v>0</v>
      </c>
    </row>
    <row r="565" spans="1:30" x14ac:dyDescent="0.2">
      <c r="A565" s="30" t="s">
        <v>2846</v>
      </c>
      <c r="B565" s="29">
        <v>19</v>
      </c>
      <c r="C565" s="29">
        <v>7</v>
      </c>
      <c r="D565" s="29">
        <v>573</v>
      </c>
      <c r="E565" s="29">
        <v>10900</v>
      </c>
      <c r="F565" s="29">
        <v>437450</v>
      </c>
      <c r="G565" s="29">
        <v>10900</v>
      </c>
      <c r="H565" s="29">
        <v>376480</v>
      </c>
      <c r="I565" s="29">
        <v>26220</v>
      </c>
      <c r="J565" s="29">
        <v>864398080</v>
      </c>
      <c r="K565" s="29">
        <v>8201</v>
      </c>
      <c r="L565" s="29">
        <v>10935</v>
      </c>
      <c r="N565" s="34"/>
      <c r="O565" s="29">
        <f t="shared" si="98"/>
        <v>9568</v>
      </c>
      <c r="P565" s="32" cm="1">
        <f t="array" ref="P565">WPNFACTOR(C565)</f>
        <v>2.5</v>
      </c>
      <c r="Q565" s="34" cm="1">
        <f t="array" ref="Q565">HPFACTOr(C565)</f>
        <v>4</v>
      </c>
      <c r="R565" s="33">
        <f t="shared" si="99"/>
        <v>3827.2</v>
      </c>
      <c r="S565" s="34">
        <f t="shared" si="100"/>
        <v>216099520</v>
      </c>
      <c r="T565" s="33">
        <f t="shared" si="101"/>
        <v>3827.2</v>
      </c>
      <c r="U565" s="42">
        <f t="shared" si="102"/>
        <v>216099520</v>
      </c>
      <c r="V565" s="44"/>
      <c r="W565" s="29">
        <f t="shared" si="97"/>
        <v>827056082944</v>
      </c>
      <c r="X565" s="41">
        <f t="shared" si="103"/>
        <v>39.589194206098092</v>
      </c>
      <c r="Y565" s="33">
        <f t="shared" si="104"/>
        <v>953.63842116366334</v>
      </c>
      <c r="Z565" s="33">
        <v>0.8</v>
      </c>
      <c r="AA565" s="29">
        <f t="shared" si="105"/>
        <v>762.91073693093074</v>
      </c>
      <c r="AB565" s="48">
        <f t="shared" si="106"/>
        <v>9386.6722354190933</v>
      </c>
      <c r="AD565" s="47">
        <f t="shared" si="107"/>
        <v>0</v>
      </c>
    </row>
    <row r="566" spans="1:30" x14ac:dyDescent="0.2">
      <c r="A566" s="30" t="s">
        <v>2846</v>
      </c>
      <c r="B566" s="29">
        <v>20</v>
      </c>
      <c r="C566" s="29">
        <v>6</v>
      </c>
      <c r="D566" s="29">
        <v>575</v>
      </c>
      <c r="E566" s="29">
        <v>441820</v>
      </c>
      <c r="F566" s="29">
        <v>11000</v>
      </c>
      <c r="G566" s="29">
        <v>11000</v>
      </c>
      <c r="H566" s="29">
        <v>378360</v>
      </c>
      <c r="I566" s="29">
        <v>26480</v>
      </c>
      <c r="J566" s="29">
        <v>871741440</v>
      </c>
      <c r="K566" s="29">
        <v>5315</v>
      </c>
      <c r="L566" s="29">
        <v>7685</v>
      </c>
      <c r="N566" s="34"/>
      <c r="O566" s="29">
        <f t="shared" si="98"/>
        <v>6500</v>
      </c>
      <c r="P566" s="32" cm="1">
        <f t="array" ref="P566">WPNFACTOR(C566)</f>
        <v>2</v>
      </c>
      <c r="Q566" s="34" cm="1">
        <f t="array" ref="Q566">HPFACTOr(C566)</f>
        <v>4</v>
      </c>
      <c r="R566" s="33">
        <f t="shared" si="99"/>
        <v>3250</v>
      </c>
      <c r="S566" s="34">
        <f t="shared" si="100"/>
        <v>217935360</v>
      </c>
      <c r="T566" s="33">
        <f t="shared" si="101"/>
        <v>3250</v>
      </c>
      <c r="U566" s="42">
        <f t="shared" si="102"/>
        <v>217935360</v>
      </c>
      <c r="V566" s="44"/>
      <c r="W566" s="29">
        <f t="shared" si="97"/>
        <v>708289920000</v>
      </c>
      <c r="X566" s="41">
        <f t="shared" si="103"/>
        <v>39.365549054537347</v>
      </c>
      <c r="Y566" s="33">
        <f t="shared" si="104"/>
        <v>917.38738806012475</v>
      </c>
      <c r="Z566" s="33">
        <v>0.8</v>
      </c>
      <c r="AA566" s="29">
        <f t="shared" si="105"/>
        <v>733.90991044809982</v>
      </c>
      <c r="AB566" s="48">
        <f t="shared" si="106"/>
        <v>8913.9532843065299</v>
      </c>
      <c r="AD566" s="47">
        <f t="shared" si="107"/>
        <v>0</v>
      </c>
    </row>
    <row r="567" spans="1:30" x14ac:dyDescent="0.2">
      <c r="A567" s="30" t="s">
        <v>2846</v>
      </c>
      <c r="B567" s="29">
        <v>21</v>
      </c>
      <c r="C567" s="29">
        <v>2</v>
      </c>
      <c r="D567" s="29">
        <v>580</v>
      </c>
      <c r="E567" s="29">
        <v>12000</v>
      </c>
      <c r="F567" s="29">
        <v>12000</v>
      </c>
      <c r="G567" s="29">
        <v>450000</v>
      </c>
      <c r="H567" s="29">
        <v>380000</v>
      </c>
      <c r="I567" s="29">
        <v>27000</v>
      </c>
      <c r="J567" s="29">
        <v>450000000</v>
      </c>
      <c r="K567" s="29">
        <v>15000</v>
      </c>
      <c r="L567" s="29">
        <v>20000</v>
      </c>
      <c r="N567" s="34"/>
      <c r="O567" s="29">
        <f t="shared" si="98"/>
        <v>17500</v>
      </c>
      <c r="P567" s="32" cm="1">
        <f t="array" ref="P567">WPNFACTOR(C567)</f>
        <v>4.5</v>
      </c>
      <c r="Q567" s="34" cm="1">
        <f t="array" ref="Q567">HPFACTOr(C567)</f>
        <v>2</v>
      </c>
      <c r="R567" s="33">
        <f t="shared" si="99"/>
        <v>3888.8888888888887</v>
      </c>
      <c r="S567" s="34">
        <f t="shared" si="100"/>
        <v>225000000</v>
      </c>
      <c r="T567" s="33">
        <f t="shared" si="101"/>
        <v>3888.8888888888887</v>
      </c>
      <c r="U567" s="42">
        <f t="shared" si="102"/>
        <v>225000000</v>
      </c>
      <c r="V567" s="44"/>
      <c r="W567" s="29">
        <f t="shared" si="97"/>
        <v>875000000000</v>
      </c>
      <c r="X567" s="41">
        <f t="shared" si="103"/>
        <v>39.670492060705953</v>
      </c>
      <c r="Y567" s="33">
        <f t="shared" si="104"/>
        <v>967.16821013383435</v>
      </c>
      <c r="Z567" s="33">
        <v>0.8</v>
      </c>
      <c r="AA567" s="29">
        <f t="shared" si="105"/>
        <v>773.7345681070675</v>
      </c>
      <c r="AB567" s="48">
        <f t="shared" si="106"/>
        <v>9564.6559138619305</v>
      </c>
      <c r="AD567" s="47">
        <f t="shared" si="107"/>
        <v>0</v>
      </c>
    </row>
    <row r="568" spans="1:30" x14ac:dyDescent="0.2">
      <c r="A568" s="30" t="s">
        <v>8854</v>
      </c>
      <c r="B568" s="29">
        <v>1</v>
      </c>
      <c r="C568" s="29">
        <v>3</v>
      </c>
      <c r="D568" s="29">
        <v>410</v>
      </c>
      <c r="E568" s="29">
        <v>8400</v>
      </c>
      <c r="F568" s="29">
        <v>66000</v>
      </c>
      <c r="G568" s="29">
        <v>8400</v>
      </c>
      <c r="H568" s="29">
        <v>157500</v>
      </c>
      <c r="I568" s="29">
        <v>27000</v>
      </c>
      <c r="J568" s="29">
        <v>468750016</v>
      </c>
      <c r="K568" s="29">
        <v>1500</v>
      </c>
      <c r="L568" s="29">
        <v>1624</v>
      </c>
      <c r="N568" s="34"/>
      <c r="O568" s="29">
        <f t="shared" si="98"/>
        <v>1562</v>
      </c>
      <c r="P568" s="32" cm="1">
        <f t="array" ref="P568">WPNFACTOR(C568)</f>
        <v>2.5</v>
      </c>
      <c r="Q568" s="34" cm="1">
        <f t="array" ref="Q568">HPFACTOr(C568)</f>
        <v>4</v>
      </c>
      <c r="R568" s="33">
        <f t="shared" si="99"/>
        <v>624.79999999999995</v>
      </c>
      <c r="S568" s="34">
        <f t="shared" si="100"/>
        <v>117187504</v>
      </c>
      <c r="T568" s="33">
        <f t="shared" si="101"/>
        <v>624.79999999999995</v>
      </c>
      <c r="U568" s="42">
        <f t="shared" si="102"/>
        <v>117187504</v>
      </c>
      <c r="V568" s="44"/>
      <c r="W568" s="29">
        <f t="shared" si="97"/>
        <v>73218752499.199997</v>
      </c>
      <c r="X568" s="41">
        <f t="shared" si="103"/>
        <v>36.091494142093389</v>
      </c>
      <c r="Y568" s="33">
        <f t="shared" si="104"/>
        <v>520.18231281528097</v>
      </c>
      <c r="Z568" s="33">
        <v>0.8</v>
      </c>
      <c r="AA568" s="29">
        <f t="shared" si="105"/>
        <v>416.14585025222482</v>
      </c>
      <c r="AB568" s="48">
        <f t="shared" si="106"/>
        <v>4183.5096493666242</v>
      </c>
      <c r="AD568" s="47">
        <f t="shared" si="107"/>
        <v>0</v>
      </c>
    </row>
    <row r="569" spans="1:30" x14ac:dyDescent="0.2">
      <c r="A569" s="30" t="s">
        <v>8854</v>
      </c>
      <c r="B569" s="29">
        <v>2</v>
      </c>
      <c r="C569" s="29">
        <v>1</v>
      </c>
      <c r="D569" s="29">
        <v>420</v>
      </c>
      <c r="E569" s="29">
        <v>58332</v>
      </c>
      <c r="F569" s="29">
        <v>14424</v>
      </c>
      <c r="G569" s="29">
        <v>14556</v>
      </c>
      <c r="H569" s="29">
        <v>196785</v>
      </c>
      <c r="I569" s="29">
        <v>28584</v>
      </c>
      <c r="J569" s="29">
        <v>597611456</v>
      </c>
      <c r="K569" s="29">
        <v>700</v>
      </c>
      <c r="L569" s="29">
        <v>1969</v>
      </c>
      <c r="N569" s="34"/>
      <c r="O569" s="29">
        <f t="shared" si="98"/>
        <v>1334.5</v>
      </c>
      <c r="P569" s="32" cm="1">
        <f t="array" ref="P569">WPNFACTOR(C569)</f>
        <v>2</v>
      </c>
      <c r="Q569" s="34" cm="1">
        <f t="array" ref="Q569">HPFACTOr(C569)</f>
        <v>5</v>
      </c>
      <c r="R569" s="33">
        <f t="shared" si="99"/>
        <v>667.25</v>
      </c>
      <c r="S569" s="34">
        <f t="shared" si="100"/>
        <v>119522291.2</v>
      </c>
      <c r="T569" s="33">
        <f t="shared" si="101"/>
        <v>667.25</v>
      </c>
      <c r="U569" s="42">
        <f t="shared" si="102"/>
        <v>119522291.2</v>
      </c>
      <c r="V569" s="44"/>
      <c r="W569" s="29">
        <f t="shared" si="97"/>
        <v>79751248803.199997</v>
      </c>
      <c r="X569" s="41">
        <f t="shared" si="103"/>
        <v>36.214788058698815</v>
      </c>
      <c r="Y569" s="33">
        <f t="shared" si="104"/>
        <v>531.41569036931935</v>
      </c>
      <c r="Z569" s="33">
        <v>0.8</v>
      </c>
      <c r="AA569" s="29">
        <f t="shared" si="105"/>
        <v>425.13255229545553</v>
      </c>
      <c r="AB569" s="48">
        <f t="shared" si="106"/>
        <v>4304.3987581583133</v>
      </c>
      <c r="AD569" s="47">
        <f t="shared" si="107"/>
        <v>0</v>
      </c>
    </row>
    <row r="570" spans="1:30" x14ac:dyDescent="0.2">
      <c r="A570" s="30" t="s">
        <v>8854</v>
      </c>
      <c r="B570" s="29">
        <v>3</v>
      </c>
      <c r="C570" s="29">
        <v>3</v>
      </c>
      <c r="D570" s="29">
        <v>430</v>
      </c>
      <c r="E570" s="29">
        <v>9300</v>
      </c>
      <c r="F570" s="29">
        <v>67740</v>
      </c>
      <c r="G570" s="29">
        <v>9360</v>
      </c>
      <c r="H570" s="29">
        <v>198000</v>
      </c>
      <c r="I570" s="29">
        <v>28800</v>
      </c>
      <c r="J570" s="29">
        <v>513187488</v>
      </c>
      <c r="K570" s="29">
        <v>1705</v>
      </c>
      <c r="L570" s="29">
        <v>1819</v>
      </c>
      <c r="N570" s="34"/>
      <c r="O570" s="29">
        <f t="shared" si="98"/>
        <v>1762</v>
      </c>
      <c r="P570" s="32" cm="1">
        <f t="array" ref="P570">WPNFACTOR(C570)</f>
        <v>2.5</v>
      </c>
      <c r="Q570" s="34" cm="1">
        <f t="array" ref="Q570">HPFACTOr(C570)</f>
        <v>4</v>
      </c>
      <c r="R570" s="33">
        <f t="shared" si="99"/>
        <v>704.8</v>
      </c>
      <c r="S570" s="34">
        <f t="shared" si="100"/>
        <v>128296872</v>
      </c>
      <c r="T570" s="33">
        <f t="shared" si="101"/>
        <v>704.8</v>
      </c>
      <c r="U570" s="42">
        <f t="shared" si="102"/>
        <v>128296872</v>
      </c>
      <c r="V570" s="44"/>
      <c r="W570" s="29">
        <f t="shared" si="97"/>
        <v>90423635385.599991</v>
      </c>
      <c r="X570" s="41">
        <f t="shared" si="103"/>
        <v>36.395980869708417</v>
      </c>
      <c r="Y570" s="33">
        <f t="shared" si="104"/>
        <v>548.3659636230808</v>
      </c>
      <c r="Z570" s="33">
        <v>0.8</v>
      </c>
      <c r="AA570" s="29">
        <f t="shared" si="105"/>
        <v>438.69277089846469</v>
      </c>
      <c r="AB570" s="48">
        <f t="shared" si="106"/>
        <v>4488.4251563256066</v>
      </c>
      <c r="AD570" s="47">
        <f t="shared" si="107"/>
        <v>0</v>
      </c>
    </row>
    <row r="571" spans="1:30" x14ac:dyDescent="0.2">
      <c r="A571" s="30" t="s">
        <v>8854</v>
      </c>
      <c r="B571" s="29">
        <v>4</v>
      </c>
      <c r="C571" s="29">
        <v>3</v>
      </c>
      <c r="D571" s="29">
        <v>440</v>
      </c>
      <c r="E571" s="29">
        <v>11790</v>
      </c>
      <c r="F571" s="29">
        <v>73920</v>
      </c>
      <c r="G571" s="29">
        <v>11880</v>
      </c>
      <c r="H571" s="29">
        <v>207000</v>
      </c>
      <c r="I571" s="29">
        <v>35640</v>
      </c>
      <c r="J571" s="29">
        <v>554774976</v>
      </c>
      <c r="K571" s="29">
        <v>1165</v>
      </c>
      <c r="L571" s="29">
        <v>2474</v>
      </c>
      <c r="N571" s="34"/>
      <c r="O571" s="29">
        <f t="shared" si="98"/>
        <v>1819.5</v>
      </c>
      <c r="P571" s="32" cm="1">
        <f t="array" ref="P571">WPNFACTOR(C571)</f>
        <v>2.5</v>
      </c>
      <c r="Q571" s="34" cm="1">
        <f t="array" ref="Q571">HPFACTOr(C571)</f>
        <v>4</v>
      </c>
      <c r="R571" s="33">
        <f t="shared" si="99"/>
        <v>727.8</v>
      </c>
      <c r="S571" s="34">
        <f t="shared" si="100"/>
        <v>138693744</v>
      </c>
      <c r="T571" s="33">
        <f t="shared" si="101"/>
        <v>727.8</v>
      </c>
      <c r="U571" s="42">
        <f t="shared" si="102"/>
        <v>138693744</v>
      </c>
      <c r="V571" s="44"/>
      <c r="W571" s="29">
        <f t="shared" si="97"/>
        <v>100941306883.2</v>
      </c>
      <c r="X571" s="41">
        <f t="shared" si="103"/>
        <v>36.554725714147828</v>
      </c>
      <c r="Y571" s="33">
        <f t="shared" si="104"/>
        <v>563.66001881864042</v>
      </c>
      <c r="Z571" s="33">
        <v>0.8</v>
      </c>
      <c r="AA571" s="29">
        <f t="shared" si="105"/>
        <v>450.92801505491235</v>
      </c>
      <c r="AB571" s="48">
        <f t="shared" si="106"/>
        <v>4656.1072392666256</v>
      </c>
      <c r="AD571" s="47">
        <f t="shared" si="107"/>
        <v>0</v>
      </c>
    </row>
    <row r="572" spans="1:30" x14ac:dyDescent="0.2">
      <c r="A572" s="30" t="s">
        <v>8854</v>
      </c>
      <c r="B572" s="29">
        <v>5</v>
      </c>
      <c r="C572" s="29">
        <v>2</v>
      </c>
      <c r="D572" s="29">
        <v>450</v>
      </c>
      <c r="E572" s="29">
        <v>23214</v>
      </c>
      <c r="F572" s="29">
        <v>23190</v>
      </c>
      <c r="G572" s="29">
        <v>73494</v>
      </c>
      <c r="H572" s="29">
        <v>221647</v>
      </c>
      <c r="I572" s="29">
        <v>45972</v>
      </c>
      <c r="J572" s="29">
        <v>299962912</v>
      </c>
      <c r="K572" s="29">
        <v>1911</v>
      </c>
      <c r="L572" s="29">
        <v>4818</v>
      </c>
      <c r="N572" s="34"/>
      <c r="O572" s="29">
        <f t="shared" si="98"/>
        <v>3364.5</v>
      </c>
      <c r="P572" s="32" cm="1">
        <f t="array" ref="P572">WPNFACTOR(C572)</f>
        <v>4.5</v>
      </c>
      <c r="Q572" s="34" cm="1">
        <f t="array" ref="Q572">HPFACTOr(C572)</f>
        <v>2</v>
      </c>
      <c r="R572" s="33">
        <f t="shared" si="99"/>
        <v>747.66666666666663</v>
      </c>
      <c r="S572" s="34">
        <f t="shared" si="100"/>
        <v>149981456</v>
      </c>
      <c r="T572" s="33">
        <f t="shared" si="101"/>
        <v>747.66666666666663</v>
      </c>
      <c r="U572" s="42">
        <f t="shared" si="102"/>
        <v>149981456</v>
      </c>
      <c r="V572" s="44"/>
      <c r="W572" s="29">
        <f t="shared" si="97"/>
        <v>112136135269.33333</v>
      </c>
      <c r="X572" s="41">
        <f t="shared" si="103"/>
        <v>36.706460297580591</v>
      </c>
      <c r="Y572" s="33">
        <f t="shared" si="104"/>
        <v>578.67723283958173</v>
      </c>
      <c r="Z572" s="33">
        <v>0.8</v>
      </c>
      <c r="AA572" s="29">
        <f t="shared" si="105"/>
        <v>462.94178627166542</v>
      </c>
      <c r="AB572" s="48">
        <f t="shared" si="106"/>
        <v>4822.2367457273458</v>
      </c>
      <c r="AD572" s="47">
        <f t="shared" si="107"/>
        <v>0</v>
      </c>
    </row>
    <row r="573" spans="1:30" x14ac:dyDescent="0.2">
      <c r="A573" s="30" t="s">
        <v>8854</v>
      </c>
      <c r="B573" s="29">
        <v>6</v>
      </c>
      <c r="C573" s="29">
        <v>3</v>
      </c>
      <c r="D573" s="29">
        <v>460</v>
      </c>
      <c r="E573" s="29">
        <v>26790</v>
      </c>
      <c r="F573" s="29">
        <v>74640</v>
      </c>
      <c r="G573" s="29">
        <v>26580</v>
      </c>
      <c r="H573" s="29">
        <v>243450</v>
      </c>
      <c r="I573" s="29">
        <v>47760</v>
      </c>
      <c r="J573" s="29">
        <v>706649984</v>
      </c>
      <c r="K573" s="29">
        <v>1757</v>
      </c>
      <c r="L573" s="29">
        <v>2041</v>
      </c>
      <c r="N573" s="34"/>
      <c r="O573" s="29">
        <f t="shared" si="98"/>
        <v>1899</v>
      </c>
      <c r="P573" s="32" cm="1">
        <f t="array" ref="P573">WPNFACTOR(C573)</f>
        <v>2.5</v>
      </c>
      <c r="Q573" s="34" cm="1">
        <f t="array" ref="Q573">HPFACTOr(C573)</f>
        <v>4</v>
      </c>
      <c r="R573" s="33">
        <f t="shared" si="99"/>
        <v>759.6</v>
      </c>
      <c r="S573" s="34">
        <f t="shared" si="100"/>
        <v>176662496</v>
      </c>
      <c r="T573" s="33">
        <f t="shared" si="101"/>
        <v>759.6</v>
      </c>
      <c r="U573" s="42">
        <f t="shared" si="102"/>
        <v>176662496</v>
      </c>
      <c r="V573" s="44"/>
      <c r="W573" s="29">
        <f t="shared" si="97"/>
        <v>134192831961.60001</v>
      </c>
      <c r="X573" s="41">
        <f t="shared" si="103"/>
        <v>36.965516654422458</v>
      </c>
      <c r="Y573" s="33">
        <f t="shared" si="104"/>
        <v>605.24655972065364</v>
      </c>
      <c r="Z573" s="33">
        <v>0.8</v>
      </c>
      <c r="AA573" s="29">
        <f t="shared" si="105"/>
        <v>484.19724777652294</v>
      </c>
      <c r="AB573" s="48">
        <f t="shared" si="106"/>
        <v>5119.6834109257934</v>
      </c>
      <c r="AD573" s="47">
        <f t="shared" si="107"/>
        <v>0</v>
      </c>
    </row>
    <row r="574" spans="1:30" x14ac:dyDescent="0.2">
      <c r="A574" s="30" t="s">
        <v>8854</v>
      </c>
      <c r="B574" s="29">
        <v>7</v>
      </c>
      <c r="C574" s="29">
        <v>3</v>
      </c>
      <c r="D574" s="29">
        <v>470</v>
      </c>
      <c r="E574" s="29">
        <v>23460</v>
      </c>
      <c r="F574" s="29">
        <v>77880</v>
      </c>
      <c r="G574" s="29">
        <v>23100</v>
      </c>
      <c r="H574" s="29">
        <v>245250</v>
      </c>
      <c r="I574" s="29">
        <v>47820</v>
      </c>
      <c r="J574" s="29">
        <v>722437504</v>
      </c>
      <c r="K574" s="29">
        <v>1005</v>
      </c>
      <c r="L574" s="29">
        <v>2919</v>
      </c>
      <c r="N574" s="34"/>
      <c r="O574" s="29">
        <f t="shared" si="98"/>
        <v>1962</v>
      </c>
      <c r="P574" s="32" cm="1">
        <f t="array" ref="P574">WPNFACTOR(C574)</f>
        <v>2.5</v>
      </c>
      <c r="Q574" s="34" cm="1">
        <f t="array" ref="Q574">HPFACTOr(C574)</f>
        <v>4</v>
      </c>
      <c r="R574" s="33">
        <f t="shared" si="99"/>
        <v>784.8</v>
      </c>
      <c r="S574" s="34">
        <f t="shared" si="100"/>
        <v>180609376</v>
      </c>
      <c r="T574" s="33">
        <f t="shared" si="101"/>
        <v>784.8</v>
      </c>
      <c r="U574" s="42">
        <f t="shared" si="102"/>
        <v>180609376</v>
      </c>
      <c r="V574" s="44"/>
      <c r="W574" s="29">
        <f t="shared" si="97"/>
        <v>141742238284.79999</v>
      </c>
      <c r="X574" s="41">
        <f t="shared" si="103"/>
        <v>37.044478780024683</v>
      </c>
      <c r="Y574" s="33">
        <f t="shared" si="104"/>
        <v>613.58512367454705</v>
      </c>
      <c r="Z574" s="33">
        <v>0.8</v>
      </c>
      <c r="AA574" s="29">
        <f t="shared" si="105"/>
        <v>490.86809893963766</v>
      </c>
      <c r="AB574" s="48">
        <f t="shared" si="106"/>
        <v>5213.9447982951006</v>
      </c>
      <c r="AD574" s="47">
        <f t="shared" si="107"/>
        <v>0</v>
      </c>
    </row>
    <row r="575" spans="1:30" x14ac:dyDescent="0.2">
      <c r="A575" s="30" t="s">
        <v>8854</v>
      </c>
      <c r="B575" s="29">
        <v>8</v>
      </c>
      <c r="C575" s="29">
        <v>1</v>
      </c>
      <c r="D575" s="29">
        <v>480</v>
      </c>
      <c r="E575" s="29">
        <v>89244</v>
      </c>
      <c r="F575" s="29">
        <v>18792</v>
      </c>
      <c r="G575" s="29">
        <v>11916</v>
      </c>
      <c r="H575" s="29">
        <v>262327</v>
      </c>
      <c r="I575" s="29">
        <v>48132</v>
      </c>
      <c r="J575" s="29">
        <v>1039800576</v>
      </c>
      <c r="K575" s="29">
        <v>1410</v>
      </c>
      <c r="L575" s="29">
        <v>1689</v>
      </c>
      <c r="N575" s="34"/>
      <c r="O575" s="29">
        <f t="shared" si="98"/>
        <v>1549.5</v>
      </c>
      <c r="P575" s="32" cm="1">
        <f t="array" ref="P575">WPNFACTOR(C575)</f>
        <v>2</v>
      </c>
      <c r="Q575" s="34" cm="1">
        <f t="array" ref="Q575">HPFACTOr(C575)</f>
        <v>5</v>
      </c>
      <c r="R575" s="33">
        <f t="shared" si="99"/>
        <v>774.75</v>
      </c>
      <c r="S575" s="34">
        <f t="shared" si="100"/>
        <v>207960115.19999999</v>
      </c>
      <c r="T575" s="33">
        <f t="shared" si="101"/>
        <v>774.75</v>
      </c>
      <c r="U575" s="42">
        <f t="shared" si="102"/>
        <v>207960115.19999999</v>
      </c>
      <c r="V575" s="44"/>
      <c r="W575" s="29">
        <f t="shared" si="97"/>
        <v>161117099251.19998</v>
      </c>
      <c r="X575" s="41">
        <f t="shared" si="103"/>
        <v>37.229318658201557</v>
      </c>
      <c r="Y575" s="33">
        <f t="shared" si="104"/>
        <v>633.55658406328587</v>
      </c>
      <c r="Z575" s="33">
        <v>0.8</v>
      </c>
      <c r="AA575" s="29">
        <f t="shared" si="105"/>
        <v>506.84526725062869</v>
      </c>
      <c r="AB575" s="48">
        <f t="shared" si="106"/>
        <v>5441.4404171560673</v>
      </c>
      <c r="AD575" s="47">
        <f t="shared" si="107"/>
        <v>0</v>
      </c>
    </row>
    <row r="576" spans="1:30" x14ac:dyDescent="0.2">
      <c r="A576" s="30" t="s">
        <v>8854</v>
      </c>
      <c r="B576" s="29">
        <v>9</v>
      </c>
      <c r="C576" s="29">
        <v>1</v>
      </c>
      <c r="D576" s="29">
        <v>490</v>
      </c>
      <c r="E576" s="29">
        <v>86820</v>
      </c>
      <c r="F576" s="29">
        <v>33240</v>
      </c>
      <c r="G576" s="29">
        <v>33414</v>
      </c>
      <c r="H576" s="29">
        <v>315225</v>
      </c>
      <c r="I576" s="29">
        <v>61182</v>
      </c>
      <c r="J576" s="29">
        <v>1307133056</v>
      </c>
      <c r="K576" s="29">
        <v>1115</v>
      </c>
      <c r="L576" s="29">
        <v>2364</v>
      </c>
      <c r="N576" s="34"/>
      <c r="O576" s="29">
        <f t="shared" si="98"/>
        <v>1739.5</v>
      </c>
      <c r="P576" s="32" cm="1">
        <f t="array" ref="P576">WPNFACTOR(C576)</f>
        <v>2</v>
      </c>
      <c r="Q576" s="34" cm="1">
        <f t="array" ref="Q576">HPFACTOr(C576)</f>
        <v>5</v>
      </c>
      <c r="R576" s="33">
        <f t="shared" si="99"/>
        <v>869.75</v>
      </c>
      <c r="S576" s="34">
        <f t="shared" si="100"/>
        <v>261426611.19999999</v>
      </c>
      <c r="T576" s="33">
        <f t="shared" si="101"/>
        <v>869.75</v>
      </c>
      <c r="U576" s="42">
        <f t="shared" si="102"/>
        <v>261426611.19999999</v>
      </c>
      <c r="V576" s="44"/>
      <c r="W576" s="29">
        <f t="shared" si="97"/>
        <v>227375795091.19998</v>
      </c>
      <c r="X576" s="41">
        <f t="shared" si="103"/>
        <v>37.726287726484919</v>
      </c>
      <c r="Y576" s="33">
        <f t="shared" si="104"/>
        <v>690.5355753398461</v>
      </c>
      <c r="Z576" s="33">
        <v>0.8</v>
      </c>
      <c r="AA576" s="29">
        <f t="shared" si="105"/>
        <v>552.42846027187693</v>
      </c>
      <c r="AB576" s="48">
        <f t="shared" si="106"/>
        <v>6103.5345912300218</v>
      </c>
      <c r="AD576" s="47">
        <f t="shared" si="107"/>
        <v>0</v>
      </c>
    </row>
    <row r="577" spans="1:30" x14ac:dyDescent="0.2">
      <c r="A577" s="30" t="s">
        <v>8854</v>
      </c>
      <c r="B577" s="29">
        <v>10</v>
      </c>
      <c r="C577" s="29">
        <v>2</v>
      </c>
      <c r="D577" s="29">
        <v>500</v>
      </c>
      <c r="E577" s="29">
        <v>35466</v>
      </c>
      <c r="F577" s="29">
        <v>26028</v>
      </c>
      <c r="G577" s="29">
        <v>73044</v>
      </c>
      <c r="H577" s="29">
        <v>315225</v>
      </c>
      <c r="I577" s="29">
        <v>51240</v>
      </c>
      <c r="J577" s="29">
        <v>534621568</v>
      </c>
      <c r="K577" s="29">
        <v>2567</v>
      </c>
      <c r="L577" s="29">
        <v>5151</v>
      </c>
      <c r="N577" s="34"/>
      <c r="O577" s="29">
        <f t="shared" si="98"/>
        <v>3859</v>
      </c>
      <c r="P577" s="32" cm="1">
        <f t="array" ref="P577">WPNFACTOR(C577)</f>
        <v>4.5</v>
      </c>
      <c r="Q577" s="34" cm="1">
        <f t="array" ref="Q577">HPFACTOr(C577)</f>
        <v>2</v>
      </c>
      <c r="R577" s="33">
        <f t="shared" si="99"/>
        <v>857.55555555555554</v>
      </c>
      <c r="S577" s="34">
        <f t="shared" si="100"/>
        <v>267310784</v>
      </c>
      <c r="T577" s="33">
        <f t="shared" si="101"/>
        <v>857.55555555555554</v>
      </c>
      <c r="U577" s="42">
        <f t="shared" si="102"/>
        <v>267310784</v>
      </c>
      <c r="V577" s="44"/>
      <c r="W577" s="29">
        <f t="shared" si="97"/>
        <v>229233847879.11111</v>
      </c>
      <c r="X577" s="41">
        <f t="shared" si="103"/>
        <v>37.738029126956881</v>
      </c>
      <c r="Y577" s="33">
        <f t="shared" si="104"/>
        <v>691.9419897825918</v>
      </c>
      <c r="Z577" s="33">
        <v>0.8</v>
      </c>
      <c r="AA577" s="29">
        <f t="shared" si="105"/>
        <v>553.55359182607344</v>
      </c>
      <c r="AB577" s="48">
        <f t="shared" si="106"/>
        <v>6120.1149810291836</v>
      </c>
      <c r="AD577" s="47">
        <f t="shared" si="107"/>
        <v>0</v>
      </c>
    </row>
    <row r="578" spans="1:30" x14ac:dyDescent="0.2">
      <c r="A578" s="30" t="s">
        <v>8855</v>
      </c>
      <c r="B578" s="29">
        <v>1</v>
      </c>
      <c r="C578" s="29">
        <v>1</v>
      </c>
      <c r="D578" s="29">
        <v>328</v>
      </c>
      <c r="E578" s="29">
        <v>52800</v>
      </c>
      <c r="F578" s="29">
        <v>6720</v>
      </c>
      <c r="G578" s="29">
        <v>6720</v>
      </c>
      <c r="H578" s="29">
        <v>126000</v>
      </c>
      <c r="I578" s="29">
        <v>21600</v>
      </c>
      <c r="J578" s="29">
        <v>207270000</v>
      </c>
      <c r="K578" s="29">
        <v>1118</v>
      </c>
      <c r="L578" s="29">
        <v>1891</v>
      </c>
      <c r="N578" s="34"/>
      <c r="O578" s="29">
        <f t="shared" si="98"/>
        <v>1504.5</v>
      </c>
      <c r="P578" s="32" cm="1">
        <f t="array" ref="P578">WPNFACTOR(C578)</f>
        <v>2</v>
      </c>
      <c r="Q578" s="34" cm="1">
        <f t="array" ref="Q578">HPFACTOr(C578)</f>
        <v>5</v>
      </c>
      <c r="R578" s="33">
        <f t="shared" si="99"/>
        <v>752.25</v>
      </c>
      <c r="S578" s="34">
        <f t="shared" si="100"/>
        <v>41454000</v>
      </c>
      <c r="T578" s="33">
        <f t="shared" si="101"/>
        <v>752.25</v>
      </c>
      <c r="U578" s="42">
        <f t="shared" si="102"/>
        <v>41454000</v>
      </c>
      <c r="V578" s="44"/>
      <c r="W578" s="29">
        <f t="shared" si="97"/>
        <v>31183771500</v>
      </c>
      <c r="X578" s="41">
        <f t="shared" si="103"/>
        <v>34.860076373230584</v>
      </c>
      <c r="Y578" s="33">
        <f t="shared" si="104"/>
        <v>420.22526513383116</v>
      </c>
      <c r="Z578" s="33">
        <v>0.8</v>
      </c>
      <c r="AA578" s="29">
        <f t="shared" si="105"/>
        <v>336.18021210706496</v>
      </c>
      <c r="AB578" s="48">
        <f t="shared" si="106"/>
        <v>3147.5759127963724</v>
      </c>
      <c r="AD578" s="47">
        <f t="shared" si="107"/>
        <v>0</v>
      </c>
    </row>
    <row r="579" spans="1:30" x14ac:dyDescent="0.2">
      <c r="A579" s="30" t="s">
        <v>8855</v>
      </c>
      <c r="B579" s="29">
        <v>2</v>
      </c>
      <c r="C579" s="29">
        <v>1</v>
      </c>
      <c r="D579" s="29">
        <v>349</v>
      </c>
      <c r="E579" s="29">
        <v>48416</v>
      </c>
      <c r="F579" s="29">
        <v>11972</v>
      </c>
      <c r="G579" s="29">
        <v>12081</v>
      </c>
      <c r="H579" s="29">
        <v>163332</v>
      </c>
      <c r="I579" s="29">
        <v>23725</v>
      </c>
      <c r="J579" s="29">
        <v>285831008</v>
      </c>
      <c r="K579" s="29">
        <v>1190</v>
      </c>
      <c r="L579" s="29">
        <v>3248</v>
      </c>
      <c r="N579" s="34"/>
      <c r="O579" s="29">
        <f t="shared" si="98"/>
        <v>2219</v>
      </c>
      <c r="P579" s="32" cm="1">
        <f t="array" ref="P579">WPNFACTOR(C579)</f>
        <v>2</v>
      </c>
      <c r="Q579" s="34" cm="1">
        <f t="array" ref="Q579">HPFACTOr(C579)</f>
        <v>5</v>
      </c>
      <c r="R579" s="33">
        <f t="shared" si="99"/>
        <v>1109.5</v>
      </c>
      <c r="S579" s="34">
        <f t="shared" si="100"/>
        <v>57166201.600000001</v>
      </c>
      <c r="T579" s="33">
        <f t="shared" si="101"/>
        <v>1109.5</v>
      </c>
      <c r="U579" s="42">
        <f t="shared" si="102"/>
        <v>57166201.600000001</v>
      </c>
      <c r="V579" s="44"/>
      <c r="W579" s="29">
        <f t="shared" si="97"/>
        <v>63425900675.200005</v>
      </c>
      <c r="X579" s="41">
        <f t="shared" si="103"/>
        <v>35.884353050201362</v>
      </c>
      <c r="Y579" s="33">
        <f t="shared" si="104"/>
        <v>501.84160185209913</v>
      </c>
      <c r="Z579" s="33">
        <v>0.8</v>
      </c>
      <c r="AA579" s="29">
        <f t="shared" si="105"/>
        <v>401.47328148167935</v>
      </c>
      <c r="AB579" s="48">
        <f t="shared" si="106"/>
        <v>3988.0036552955457</v>
      </c>
      <c r="AD579" s="47">
        <f t="shared" si="107"/>
        <v>0</v>
      </c>
    </row>
    <row r="580" spans="1:30" x14ac:dyDescent="0.2">
      <c r="A580" s="30" t="s">
        <v>8855</v>
      </c>
      <c r="B580" s="29">
        <v>3</v>
      </c>
      <c r="C580" s="29">
        <v>2</v>
      </c>
      <c r="D580" s="29">
        <v>370</v>
      </c>
      <c r="E580" s="29">
        <v>7998</v>
      </c>
      <c r="F580" s="29">
        <v>7998</v>
      </c>
      <c r="G580" s="29">
        <v>58256</v>
      </c>
      <c r="H580" s="29">
        <v>170280</v>
      </c>
      <c r="I580" s="29">
        <v>24768</v>
      </c>
      <c r="J580" s="29">
        <v>126347760</v>
      </c>
      <c r="K580" s="29">
        <v>2845</v>
      </c>
      <c r="L580" s="29">
        <v>4764</v>
      </c>
      <c r="N580" s="34"/>
      <c r="O580" s="29">
        <f t="shared" si="98"/>
        <v>3804.5</v>
      </c>
      <c r="P580" s="32" cm="1">
        <f t="array" ref="P580">WPNFACTOR(C580)</f>
        <v>4.5</v>
      </c>
      <c r="Q580" s="34" cm="1">
        <f t="array" ref="Q580">HPFACTOr(C580)</f>
        <v>2</v>
      </c>
      <c r="R580" s="33">
        <f t="shared" si="99"/>
        <v>845.44444444444446</v>
      </c>
      <c r="S580" s="34">
        <f t="shared" si="100"/>
        <v>63173880</v>
      </c>
      <c r="T580" s="33">
        <f t="shared" si="101"/>
        <v>845.44444444444446</v>
      </c>
      <c r="U580" s="42">
        <f t="shared" si="102"/>
        <v>63173880</v>
      </c>
      <c r="V580" s="44"/>
      <c r="W580" s="29">
        <f t="shared" si="97"/>
        <v>53410005880</v>
      </c>
      <c r="X580" s="41">
        <f t="shared" si="103"/>
        <v>35.636390991932473</v>
      </c>
      <c r="Y580" s="33">
        <f t="shared" si="104"/>
        <v>480.73490510935562</v>
      </c>
      <c r="Z580" s="33">
        <v>0.8</v>
      </c>
      <c r="AA580" s="29">
        <f t="shared" si="105"/>
        <v>384.58792408748451</v>
      </c>
      <c r="AB580" s="48">
        <f t="shared" si="106"/>
        <v>3765.9470425521181</v>
      </c>
      <c r="AD580" s="47">
        <f t="shared" si="107"/>
        <v>0</v>
      </c>
    </row>
    <row r="581" spans="1:30" x14ac:dyDescent="0.2">
      <c r="A581" s="30" t="s">
        <v>8855</v>
      </c>
      <c r="B581" s="29">
        <v>4</v>
      </c>
      <c r="C581" s="29">
        <v>3</v>
      </c>
      <c r="D581" s="29">
        <v>392</v>
      </c>
      <c r="E581" s="29">
        <v>10493</v>
      </c>
      <c r="F581" s="29">
        <v>65789</v>
      </c>
      <c r="G581" s="29">
        <v>10573</v>
      </c>
      <c r="H581" s="29">
        <v>184230</v>
      </c>
      <c r="I581" s="29">
        <v>31720</v>
      </c>
      <c r="J581" s="29">
        <v>289609568</v>
      </c>
      <c r="K581" s="29">
        <v>1670</v>
      </c>
      <c r="L581" s="29">
        <v>2816</v>
      </c>
      <c r="N581" s="34"/>
      <c r="O581" s="29">
        <f t="shared" si="98"/>
        <v>2243</v>
      </c>
      <c r="P581" s="32" cm="1">
        <f t="array" ref="P581">WPNFACTOR(C581)</f>
        <v>2.5</v>
      </c>
      <c r="Q581" s="34" cm="1">
        <f t="array" ref="Q581">HPFACTOr(C581)</f>
        <v>4</v>
      </c>
      <c r="R581" s="33">
        <f t="shared" si="99"/>
        <v>897.2</v>
      </c>
      <c r="S581" s="34">
        <f t="shared" si="100"/>
        <v>72402392</v>
      </c>
      <c r="T581" s="33">
        <f t="shared" si="101"/>
        <v>897.2</v>
      </c>
      <c r="U581" s="42">
        <f t="shared" si="102"/>
        <v>72402392</v>
      </c>
      <c r="V581" s="44"/>
      <c r="W581" s="29">
        <f t="shared" si="97"/>
        <v>64959426102.400002</v>
      </c>
      <c r="X581" s="41">
        <f t="shared" si="103"/>
        <v>35.918819835662745</v>
      </c>
      <c r="Y581" s="33">
        <f t="shared" si="104"/>
        <v>504.8478892680796</v>
      </c>
      <c r="Z581" s="33">
        <v>0.8</v>
      </c>
      <c r="AA581" s="29">
        <f t="shared" si="105"/>
        <v>403.87831141446372</v>
      </c>
      <c r="AB581" s="48">
        <f t="shared" si="106"/>
        <v>4019.8889869428785</v>
      </c>
      <c r="AD581" s="47">
        <f t="shared" si="107"/>
        <v>0</v>
      </c>
    </row>
    <row r="582" spans="1:30" x14ac:dyDescent="0.2">
      <c r="A582" s="30" t="s">
        <v>8855</v>
      </c>
      <c r="B582" s="29">
        <v>5</v>
      </c>
      <c r="C582" s="29">
        <v>3</v>
      </c>
      <c r="D582" s="29">
        <v>414</v>
      </c>
      <c r="E582" s="29">
        <v>21357</v>
      </c>
      <c r="F582" s="29">
        <v>67614</v>
      </c>
      <c r="G582" s="29">
        <v>21357</v>
      </c>
      <c r="H582" s="29">
        <v>203916</v>
      </c>
      <c r="I582" s="29">
        <v>42294</v>
      </c>
      <c r="J582" s="29">
        <v>338500544</v>
      </c>
      <c r="K582" s="29">
        <v>1794</v>
      </c>
      <c r="L582" s="29">
        <v>2970</v>
      </c>
      <c r="N582" s="34"/>
      <c r="O582" s="29">
        <f t="shared" si="98"/>
        <v>2382</v>
      </c>
      <c r="P582" s="32" cm="1">
        <f t="array" ref="P582">WPNFACTOR(C582)</f>
        <v>2.5</v>
      </c>
      <c r="Q582" s="34" cm="1">
        <f t="array" ref="Q582">HPFACTOr(C582)</f>
        <v>4</v>
      </c>
      <c r="R582" s="33">
        <f t="shared" si="99"/>
        <v>952.8</v>
      </c>
      <c r="S582" s="34">
        <f t="shared" si="100"/>
        <v>84625136</v>
      </c>
      <c r="T582" s="33">
        <f t="shared" si="101"/>
        <v>952.8</v>
      </c>
      <c r="U582" s="42">
        <f t="shared" si="102"/>
        <v>84625135.999999985</v>
      </c>
      <c r="V582" s="44"/>
      <c r="W582" s="29">
        <f t="shared" si="97"/>
        <v>80630829580.799988</v>
      </c>
      <c r="X582" s="41">
        <f t="shared" si="103"/>
        <v>36.230612514414986</v>
      </c>
      <c r="Y582" s="33">
        <f t="shared" si="104"/>
        <v>532.87492193183584</v>
      </c>
      <c r="Z582" s="33">
        <v>0.8</v>
      </c>
      <c r="AA582" s="29">
        <f t="shared" si="105"/>
        <v>426.29993754546871</v>
      </c>
      <c r="AB582" s="48">
        <f t="shared" si="106"/>
        <v>4320.1654168483938</v>
      </c>
      <c r="AD582" s="47">
        <f t="shared" si="107"/>
        <v>0</v>
      </c>
    </row>
    <row r="583" spans="1:30" x14ac:dyDescent="0.2">
      <c r="A583" s="30" t="s">
        <v>8855</v>
      </c>
      <c r="B583" s="29">
        <v>6</v>
      </c>
      <c r="C583" s="29">
        <v>1</v>
      </c>
      <c r="D583" s="29">
        <v>437</v>
      </c>
      <c r="E583" s="29">
        <v>70908</v>
      </c>
      <c r="F583" s="29">
        <v>25251</v>
      </c>
      <c r="G583" s="29">
        <v>25251</v>
      </c>
      <c r="H583" s="29">
        <v>231278</v>
      </c>
      <c r="I583" s="29">
        <v>45372</v>
      </c>
      <c r="J583" s="29">
        <v>506498816</v>
      </c>
      <c r="K583" s="29">
        <v>1498</v>
      </c>
      <c r="L583" s="29">
        <v>2511</v>
      </c>
      <c r="N583" s="34"/>
      <c r="O583" s="29">
        <f t="shared" si="98"/>
        <v>2004.5</v>
      </c>
      <c r="P583" s="32" cm="1">
        <f t="array" ref="P583">WPNFACTOR(C583)</f>
        <v>2</v>
      </c>
      <c r="Q583" s="34" cm="1">
        <f t="array" ref="Q583">HPFACTOr(C583)</f>
        <v>5</v>
      </c>
      <c r="R583" s="33">
        <f t="shared" si="99"/>
        <v>1002.25</v>
      </c>
      <c r="S583" s="34">
        <f t="shared" si="100"/>
        <v>101299763.2</v>
      </c>
      <c r="T583" s="33">
        <f t="shared" si="101"/>
        <v>1002.25</v>
      </c>
      <c r="U583" s="42">
        <f t="shared" si="102"/>
        <v>101299763.2</v>
      </c>
      <c r="V583" s="44"/>
      <c r="W583" s="29">
        <f t="shared" si="97"/>
        <v>101527687667.2</v>
      </c>
      <c r="X583" s="41">
        <f t="shared" si="103"/>
        <v>36.563082262924901</v>
      </c>
      <c r="Y583" s="33">
        <f t="shared" si="104"/>
        <v>564.4768346328384</v>
      </c>
      <c r="Z583" s="33">
        <v>0.8</v>
      </c>
      <c r="AA583" s="29">
        <f t="shared" si="105"/>
        <v>451.58146770627076</v>
      </c>
      <c r="AB583" s="48">
        <f t="shared" si="106"/>
        <v>4665.1058085056175</v>
      </c>
      <c r="AD583" s="47">
        <f t="shared" si="107"/>
        <v>0</v>
      </c>
    </row>
    <row r="584" spans="1:30" x14ac:dyDescent="0.2">
      <c r="A584" s="30" t="s">
        <v>8855</v>
      </c>
      <c r="B584" s="29">
        <v>7</v>
      </c>
      <c r="C584" s="29">
        <v>3</v>
      </c>
      <c r="D584" s="29">
        <v>461</v>
      </c>
      <c r="E584" s="29">
        <v>22991</v>
      </c>
      <c r="F584" s="29">
        <v>76322</v>
      </c>
      <c r="G584" s="29">
        <v>22638</v>
      </c>
      <c r="H584" s="29">
        <v>240345</v>
      </c>
      <c r="I584" s="29">
        <v>46864</v>
      </c>
      <c r="J584" s="29">
        <v>444157568</v>
      </c>
      <c r="K584" s="29">
        <v>2064</v>
      </c>
      <c r="L584" s="29">
        <v>3262</v>
      </c>
      <c r="N584" s="34"/>
      <c r="O584" s="29">
        <f t="shared" si="98"/>
        <v>2663</v>
      </c>
      <c r="P584" s="32" cm="1">
        <f t="array" ref="P584">WPNFACTOR(C584)</f>
        <v>2.5</v>
      </c>
      <c r="Q584" s="34" cm="1">
        <f t="array" ref="Q584">HPFACTOr(C584)</f>
        <v>4</v>
      </c>
      <c r="R584" s="33">
        <f t="shared" si="99"/>
        <v>1065.2</v>
      </c>
      <c r="S584" s="34">
        <f t="shared" si="100"/>
        <v>111039392</v>
      </c>
      <c r="T584" s="33">
        <f t="shared" si="101"/>
        <v>1065.2</v>
      </c>
      <c r="U584" s="42">
        <f t="shared" si="102"/>
        <v>111039392</v>
      </c>
      <c r="V584" s="44"/>
      <c r="W584" s="29">
        <f t="shared" si="97"/>
        <v>118279160358.40001</v>
      </c>
      <c r="X584" s="41">
        <f t="shared" si="103"/>
        <v>36.783404950946405</v>
      </c>
      <c r="Y584" s="33">
        <f t="shared" si="104"/>
        <v>586.44468990595419</v>
      </c>
      <c r="Z584" s="33">
        <v>0.8</v>
      </c>
      <c r="AA584" s="29">
        <f t="shared" si="105"/>
        <v>469.15575192476336</v>
      </c>
      <c r="AB584" s="48">
        <f t="shared" si="106"/>
        <v>4908.7330083365905</v>
      </c>
      <c r="AD584" s="47">
        <f t="shared" si="107"/>
        <v>0</v>
      </c>
    </row>
    <row r="585" spans="1:30" x14ac:dyDescent="0.2">
      <c r="A585" s="30" t="s">
        <v>8855</v>
      </c>
      <c r="B585" s="29">
        <v>8</v>
      </c>
      <c r="C585" s="29">
        <v>2</v>
      </c>
      <c r="D585" s="29">
        <v>485</v>
      </c>
      <c r="E585" s="29">
        <v>18980</v>
      </c>
      <c r="F585" s="29">
        <v>18980</v>
      </c>
      <c r="G585" s="29">
        <v>90136</v>
      </c>
      <c r="H585" s="29">
        <v>264951</v>
      </c>
      <c r="I585" s="29">
        <v>48613</v>
      </c>
      <c r="J585" s="29">
        <v>257532368</v>
      </c>
      <c r="K585" s="29">
        <v>3755</v>
      </c>
      <c r="L585" s="29">
        <v>6243</v>
      </c>
      <c r="N585" s="34"/>
      <c r="O585" s="29">
        <f t="shared" si="98"/>
        <v>4999</v>
      </c>
      <c r="P585" s="32" cm="1">
        <f t="array" ref="P585">WPNFACTOR(C585)</f>
        <v>4.5</v>
      </c>
      <c r="Q585" s="34" cm="1">
        <f t="array" ref="Q585">HPFACTOr(C585)</f>
        <v>2</v>
      </c>
      <c r="R585" s="33">
        <f t="shared" si="99"/>
        <v>1110.8888888888889</v>
      </c>
      <c r="S585" s="34">
        <f t="shared" si="100"/>
        <v>128766184</v>
      </c>
      <c r="T585" s="33">
        <f t="shared" si="101"/>
        <v>1110.8888888888889</v>
      </c>
      <c r="U585" s="42">
        <f t="shared" si="102"/>
        <v>128766184</v>
      </c>
      <c r="V585" s="44"/>
      <c r="W585" s="29">
        <f t="shared" si="97"/>
        <v>143044923070.22223</v>
      </c>
      <c r="X585" s="41">
        <f t="shared" si="103"/>
        <v>37.057677338406414</v>
      </c>
      <c r="Y585" s="33">
        <f t="shared" si="104"/>
        <v>614.99008228101047</v>
      </c>
      <c r="Z585" s="33">
        <v>0.8</v>
      </c>
      <c r="AA585" s="29">
        <f t="shared" si="105"/>
        <v>491.99206582480838</v>
      </c>
      <c r="AB585" s="48">
        <f t="shared" si="106"/>
        <v>5229.8690669148182</v>
      </c>
      <c r="AD585" s="47">
        <f t="shared" si="107"/>
        <v>0</v>
      </c>
    </row>
    <row r="586" spans="1:30" x14ac:dyDescent="0.2">
      <c r="A586" s="30" t="s">
        <v>8855</v>
      </c>
      <c r="B586" s="29">
        <v>9</v>
      </c>
      <c r="C586" s="29">
        <v>5</v>
      </c>
      <c r="D586" s="29">
        <v>505</v>
      </c>
      <c r="E586" s="29">
        <v>89425</v>
      </c>
      <c r="F586" s="29">
        <v>34237</v>
      </c>
      <c r="G586" s="29">
        <v>34416</v>
      </c>
      <c r="H586" s="29">
        <v>324682</v>
      </c>
      <c r="I586" s="29">
        <v>63017</v>
      </c>
      <c r="J586" s="29">
        <v>821445440</v>
      </c>
      <c r="K586" s="29">
        <v>1725</v>
      </c>
      <c r="L586" s="29">
        <v>2908</v>
      </c>
      <c r="N586" s="34"/>
      <c r="O586" s="29">
        <f t="shared" si="98"/>
        <v>2316.5</v>
      </c>
      <c r="P586" s="32" cm="1">
        <f t="array" ref="P586">WPNFACTOR(C586)</f>
        <v>2</v>
      </c>
      <c r="Q586" s="34" cm="1">
        <f t="array" ref="Q586">HPFACTOr(C586)</f>
        <v>5</v>
      </c>
      <c r="R586" s="33">
        <f t="shared" si="99"/>
        <v>1158.25</v>
      </c>
      <c r="S586" s="34">
        <f t="shared" si="100"/>
        <v>164289088</v>
      </c>
      <c r="T586" s="33">
        <f t="shared" si="101"/>
        <v>1158.25</v>
      </c>
      <c r="U586" s="42">
        <f t="shared" si="102"/>
        <v>164289088</v>
      </c>
      <c r="V586" s="44"/>
      <c r="W586" s="29">
        <f t="shared" si="97"/>
        <v>190287836176</v>
      </c>
      <c r="X586" s="41">
        <f t="shared" si="103"/>
        <v>37.46939238651094</v>
      </c>
      <c r="Y586" s="33">
        <f t="shared" si="104"/>
        <v>660.4694846397465</v>
      </c>
      <c r="Z586" s="33">
        <v>0.8</v>
      </c>
      <c r="AA586" s="29">
        <f t="shared" si="105"/>
        <v>528.37558771179727</v>
      </c>
      <c r="AB586" s="48">
        <f t="shared" si="106"/>
        <v>5751.7986678047091</v>
      </c>
      <c r="AD586" s="47">
        <f t="shared" si="107"/>
        <v>0</v>
      </c>
    </row>
    <row r="587" spans="1:30" x14ac:dyDescent="0.2">
      <c r="A587" s="30" t="s">
        <v>8855</v>
      </c>
      <c r="B587" s="29">
        <v>10</v>
      </c>
      <c r="C587" s="29">
        <v>3</v>
      </c>
      <c r="D587" s="29">
        <v>525</v>
      </c>
      <c r="E587" s="29">
        <v>37239</v>
      </c>
      <c r="F587" s="29">
        <v>76696</v>
      </c>
      <c r="G587" s="29">
        <v>37239</v>
      </c>
      <c r="H587" s="29">
        <v>330986</v>
      </c>
      <c r="I587" s="29">
        <v>53802</v>
      </c>
      <c r="J587" s="29">
        <v>696394560</v>
      </c>
      <c r="K587" s="29">
        <v>2236</v>
      </c>
      <c r="L587" s="29">
        <v>3778</v>
      </c>
      <c r="N587" s="34"/>
      <c r="O587" s="29">
        <f t="shared" si="98"/>
        <v>3007</v>
      </c>
      <c r="P587" s="32" cm="1">
        <f t="array" ref="P587">WPNFACTOR(C587)</f>
        <v>2.5</v>
      </c>
      <c r="Q587" s="34" cm="1">
        <f t="array" ref="Q587">HPFACTOr(C587)</f>
        <v>4</v>
      </c>
      <c r="R587" s="33">
        <f t="shared" si="99"/>
        <v>1202.8</v>
      </c>
      <c r="S587" s="34">
        <f t="shared" si="100"/>
        <v>174098640</v>
      </c>
      <c r="T587" s="33">
        <f t="shared" si="101"/>
        <v>1202.8</v>
      </c>
      <c r="U587" s="42">
        <f t="shared" si="102"/>
        <v>174098640</v>
      </c>
      <c r="V587" s="44"/>
      <c r="W587" s="29">
        <f t="shared" si="97"/>
        <v>209405844192</v>
      </c>
      <c r="X587" s="41">
        <f t="shared" si="103"/>
        <v>37.607510749970309</v>
      </c>
      <c r="Y587" s="33">
        <f t="shared" si="104"/>
        <v>676.46790993105799</v>
      </c>
      <c r="Z587" s="33">
        <v>0.8</v>
      </c>
      <c r="AA587" s="29">
        <f t="shared" si="105"/>
        <v>541.17432794484637</v>
      </c>
      <c r="AB587" s="48">
        <f t="shared" si="106"/>
        <v>5938.3109183531533</v>
      </c>
      <c r="AD587" s="47">
        <f t="shared" si="107"/>
        <v>0</v>
      </c>
    </row>
    <row r="588" spans="1:30" x14ac:dyDescent="0.2">
      <c r="A588" s="30" t="s">
        <v>8856</v>
      </c>
      <c r="B588" s="29">
        <v>1</v>
      </c>
      <c r="C588" s="29">
        <v>1</v>
      </c>
      <c r="D588" s="29">
        <v>345</v>
      </c>
      <c r="E588" s="29">
        <v>48500</v>
      </c>
      <c r="F588" s="29">
        <v>12000</v>
      </c>
      <c r="G588" s="29">
        <v>12000</v>
      </c>
      <c r="H588" s="29">
        <v>163000</v>
      </c>
      <c r="I588" s="29">
        <v>23500</v>
      </c>
      <c r="J588" s="29">
        <v>318257504</v>
      </c>
      <c r="K588" s="29">
        <v>1190</v>
      </c>
      <c r="L588" s="29">
        <v>2011</v>
      </c>
      <c r="M588" s="29">
        <v>0</v>
      </c>
      <c r="N588" s="34">
        <v>60</v>
      </c>
      <c r="O588" s="29">
        <f t="shared" si="98"/>
        <v>1600.5</v>
      </c>
      <c r="P588" s="32" cm="1">
        <f t="array" ref="P588">WPNFACTOR(C588)</f>
        <v>2</v>
      </c>
      <c r="Q588" s="34" cm="1">
        <f t="array" ref="Q588">HPFACTOr(C588)</f>
        <v>5</v>
      </c>
      <c r="R588" s="33">
        <f t="shared" si="99"/>
        <v>800.25</v>
      </c>
      <c r="S588" s="34">
        <f t="shared" si="100"/>
        <v>63651500.799999997</v>
      </c>
      <c r="T588" s="33">
        <f t="shared" si="101"/>
        <v>920.28749999999991</v>
      </c>
      <c r="U588" s="42">
        <f t="shared" si="102"/>
        <v>63651500.799999997</v>
      </c>
      <c r="V588" s="44"/>
      <c r="W588" s="29">
        <f t="shared" si="97"/>
        <v>58577680542.479988</v>
      </c>
      <c r="X588" s="41">
        <f t="shared" si="103"/>
        <v>35.769632017882799</v>
      </c>
      <c r="Y588" s="33">
        <f t="shared" si="104"/>
        <v>491.96368151838197</v>
      </c>
      <c r="Z588" s="33">
        <v>0.8</v>
      </c>
      <c r="AA588" s="29">
        <f t="shared" si="105"/>
        <v>393.5709452147056</v>
      </c>
      <c r="AB588" s="48">
        <f t="shared" si="106"/>
        <v>3883.6855312436433</v>
      </c>
      <c r="AD588" s="47">
        <f t="shared" si="107"/>
        <v>0</v>
      </c>
    </row>
    <row r="589" spans="1:30" x14ac:dyDescent="0.2">
      <c r="A589" s="30" t="s">
        <v>8856</v>
      </c>
      <c r="B589" s="29">
        <v>2</v>
      </c>
      <c r="C589" s="29">
        <v>1</v>
      </c>
      <c r="D589" s="29">
        <v>390</v>
      </c>
      <c r="E589" s="29">
        <v>65500</v>
      </c>
      <c r="F589" s="29">
        <v>10500</v>
      </c>
      <c r="G589" s="29">
        <v>10500</v>
      </c>
      <c r="H589" s="29">
        <v>184000</v>
      </c>
      <c r="I589" s="29">
        <v>31500</v>
      </c>
      <c r="J589" s="29">
        <v>404800000</v>
      </c>
      <c r="K589" s="29">
        <v>1365</v>
      </c>
      <c r="L589" s="29">
        <v>2339</v>
      </c>
      <c r="M589" s="29">
        <v>10</v>
      </c>
      <c r="N589" s="34">
        <v>60</v>
      </c>
      <c r="O589" s="29">
        <f t="shared" si="98"/>
        <v>1852</v>
      </c>
      <c r="P589" s="32" cm="1">
        <f t="array" ref="P589">WPNFACTOR(C589)</f>
        <v>2</v>
      </c>
      <c r="Q589" s="34" cm="1">
        <f t="array" ref="Q589">HPFACTOr(C589)</f>
        <v>5</v>
      </c>
      <c r="R589" s="33">
        <f t="shared" si="99"/>
        <v>926</v>
      </c>
      <c r="S589" s="34">
        <f t="shared" si="100"/>
        <v>80960000</v>
      </c>
      <c r="T589" s="33">
        <f t="shared" si="101"/>
        <v>1064.8999999999999</v>
      </c>
      <c r="U589" s="42">
        <f t="shared" si="102"/>
        <v>84114285.714285716</v>
      </c>
      <c r="V589" s="44"/>
      <c r="W589" s="29">
        <f t="shared" si="97"/>
        <v>89573302857.142853</v>
      </c>
      <c r="X589" s="41">
        <f t="shared" si="103"/>
        <v>36.382349752866105</v>
      </c>
      <c r="Y589" s="33">
        <f t="shared" si="104"/>
        <v>547.07220105975682</v>
      </c>
      <c r="Z589" s="33">
        <v>0.8</v>
      </c>
      <c r="AA589" s="29">
        <f t="shared" si="105"/>
        <v>437.65776084780549</v>
      </c>
      <c r="AB589" s="48">
        <f t="shared" si="106"/>
        <v>4474.3112926521708</v>
      </c>
      <c r="AD589" s="47">
        <f t="shared" si="107"/>
        <v>0</v>
      </c>
    </row>
    <row r="590" spans="1:30" x14ac:dyDescent="0.2">
      <c r="A590" s="30" t="s">
        <v>8856</v>
      </c>
      <c r="B590" s="29">
        <v>3</v>
      </c>
      <c r="C590" s="29">
        <v>2</v>
      </c>
      <c r="D590" s="29">
        <v>435</v>
      </c>
      <c r="E590" s="29">
        <v>25000</v>
      </c>
      <c r="F590" s="29">
        <v>25000</v>
      </c>
      <c r="G590" s="29">
        <v>70500</v>
      </c>
      <c r="H590" s="29">
        <v>231000</v>
      </c>
      <c r="I590" s="29">
        <v>45000</v>
      </c>
      <c r="J590" s="29">
        <v>226149008</v>
      </c>
      <c r="K590" s="29">
        <v>3425</v>
      </c>
      <c r="L590" s="29">
        <v>5871</v>
      </c>
      <c r="M590" s="29">
        <v>35</v>
      </c>
      <c r="N590" s="34">
        <v>60</v>
      </c>
      <c r="O590" s="29">
        <f t="shared" si="98"/>
        <v>4648</v>
      </c>
      <c r="P590" s="32" cm="1">
        <f t="array" ref="P590">WPNFACTOR(C590)</f>
        <v>4.5</v>
      </c>
      <c r="Q590" s="34" cm="1">
        <f t="array" ref="Q590">HPFACTOr(C590)</f>
        <v>2</v>
      </c>
      <c r="R590" s="33">
        <f t="shared" si="99"/>
        <v>1032.8888888888889</v>
      </c>
      <c r="S590" s="34">
        <f t="shared" si="100"/>
        <v>113074504</v>
      </c>
      <c r="T590" s="33">
        <f t="shared" si="101"/>
        <v>1187.8222222222221</v>
      </c>
      <c r="U590" s="42">
        <f t="shared" si="102"/>
        <v>130157702.44604316</v>
      </c>
      <c r="V590" s="44"/>
      <c r="W590" s="29">
        <f t="shared" si="97"/>
        <v>154604211358.79773</v>
      </c>
      <c r="X590" s="41">
        <f t="shared" si="103"/>
        <v>37.16978866201277</v>
      </c>
      <c r="Y590" s="33">
        <f t="shared" si="104"/>
        <v>627.05455929758557</v>
      </c>
      <c r="Z590" s="33">
        <v>0.8</v>
      </c>
      <c r="AA590" s="29">
        <f t="shared" si="105"/>
        <v>501.64364743806846</v>
      </c>
      <c r="AB590" s="48">
        <f t="shared" si="106"/>
        <v>5367.1093028457472</v>
      </c>
      <c r="AD590" s="47">
        <f t="shared" si="107"/>
        <v>0</v>
      </c>
    </row>
    <row r="591" spans="1:30" x14ac:dyDescent="0.2">
      <c r="A591" s="30" t="s">
        <v>8856</v>
      </c>
      <c r="B591" s="29">
        <v>4</v>
      </c>
      <c r="C591" s="29">
        <v>1</v>
      </c>
      <c r="D591" s="29">
        <v>485</v>
      </c>
      <c r="E591" s="29">
        <v>90000</v>
      </c>
      <c r="F591" s="29">
        <v>19000</v>
      </c>
      <c r="G591" s="29">
        <v>18500</v>
      </c>
      <c r="H591" s="29">
        <v>265000</v>
      </c>
      <c r="I591" s="29">
        <v>48500</v>
      </c>
      <c r="J591" s="29">
        <v>721462528</v>
      </c>
      <c r="K591" s="29">
        <v>1697</v>
      </c>
      <c r="L591" s="29">
        <v>2909</v>
      </c>
      <c r="M591" s="29">
        <v>15</v>
      </c>
      <c r="N591" s="34">
        <v>60</v>
      </c>
      <c r="O591" s="29">
        <f t="shared" si="98"/>
        <v>2303</v>
      </c>
      <c r="P591" s="32" cm="1">
        <f t="array" ref="P591">WPNFACTOR(C591)</f>
        <v>2</v>
      </c>
      <c r="Q591" s="34" cm="1">
        <f t="array" ref="Q591">HPFACTOr(C591)</f>
        <v>5</v>
      </c>
      <c r="R591" s="33">
        <f t="shared" si="99"/>
        <v>1151.5</v>
      </c>
      <c r="S591" s="34">
        <f t="shared" si="100"/>
        <v>144292505.59999999</v>
      </c>
      <c r="T591" s="33">
        <f t="shared" si="101"/>
        <v>1324.2249999999999</v>
      </c>
      <c r="U591" s="42">
        <f t="shared" si="102"/>
        <v>152892721.16556293</v>
      </c>
      <c r="V591" s="44"/>
      <c r="W591" s="29">
        <f t="shared" si="97"/>
        <v>202464363685.46756</v>
      </c>
      <c r="X591" s="41">
        <f t="shared" si="103"/>
        <v>37.558877041345411</v>
      </c>
      <c r="Y591" s="33">
        <f t="shared" si="104"/>
        <v>670.79087825698048</v>
      </c>
      <c r="Z591" s="33">
        <v>0.8</v>
      </c>
      <c r="AA591" s="29">
        <f t="shared" si="105"/>
        <v>536.63270260558443</v>
      </c>
      <c r="AB591" s="48">
        <f t="shared" si="106"/>
        <v>5871.9569688168967</v>
      </c>
      <c r="AD591" s="47">
        <f t="shared" si="107"/>
        <v>0</v>
      </c>
    </row>
    <row r="592" spans="1:30" x14ac:dyDescent="0.2">
      <c r="A592" s="30" t="s">
        <v>8856</v>
      </c>
      <c r="B592" s="29">
        <v>5</v>
      </c>
      <c r="C592" s="29">
        <v>1</v>
      </c>
      <c r="D592" s="29">
        <v>525</v>
      </c>
      <c r="E592" s="29">
        <v>76500</v>
      </c>
      <c r="F592" s="29">
        <v>37000</v>
      </c>
      <c r="G592" s="29">
        <v>37000</v>
      </c>
      <c r="H592" s="29">
        <v>330500</v>
      </c>
      <c r="I592" s="29">
        <v>53500</v>
      </c>
      <c r="J592" s="29">
        <v>972496256</v>
      </c>
      <c r="K592" s="29">
        <v>1837</v>
      </c>
      <c r="L592" s="29">
        <v>3149</v>
      </c>
      <c r="M592" s="29">
        <v>30</v>
      </c>
      <c r="N592" s="34">
        <v>60</v>
      </c>
      <c r="O592" s="29">
        <f t="shared" si="98"/>
        <v>2493</v>
      </c>
      <c r="P592" s="32" cm="1">
        <f t="array" ref="P592">WPNFACTOR(C592)</f>
        <v>2</v>
      </c>
      <c r="Q592" s="34" cm="1">
        <f t="array" ref="Q592">HPFACTOr(C592)</f>
        <v>5</v>
      </c>
      <c r="R592" s="33">
        <f t="shared" si="99"/>
        <v>1246.5</v>
      </c>
      <c r="S592" s="34">
        <f t="shared" si="100"/>
        <v>194499251.19999999</v>
      </c>
      <c r="T592" s="33">
        <f t="shared" si="101"/>
        <v>1433.4749999999999</v>
      </c>
      <c r="U592" s="42">
        <f t="shared" si="102"/>
        <v>219154085.85915494</v>
      </c>
      <c r="V592" s="44"/>
      <c r="W592" s="29">
        <f t="shared" si="97"/>
        <v>314151903226.95209</v>
      </c>
      <c r="X592" s="41">
        <f t="shared" si="103"/>
        <v>38.192671364153036</v>
      </c>
      <c r="Y592" s="33">
        <f t="shared" si="104"/>
        <v>748.66050658670906</v>
      </c>
      <c r="Z592" s="33">
        <v>0.8</v>
      </c>
      <c r="AA592" s="29">
        <f t="shared" si="105"/>
        <v>598.92840526936732</v>
      </c>
      <c r="AB592" s="48">
        <f t="shared" si="106"/>
        <v>6797.9802480931057</v>
      </c>
      <c r="AD592" s="47">
        <f t="shared" si="107"/>
        <v>0</v>
      </c>
    </row>
    <row r="593" spans="1:30" x14ac:dyDescent="0.2">
      <c r="A593" s="30" t="s">
        <v>8856</v>
      </c>
      <c r="B593" s="29">
        <v>6</v>
      </c>
      <c r="C593" s="29">
        <v>4</v>
      </c>
      <c r="D593" s="29">
        <v>565</v>
      </c>
      <c r="E593" s="29">
        <v>39500</v>
      </c>
      <c r="F593" s="29">
        <v>111000</v>
      </c>
      <c r="G593" s="29">
        <v>39500</v>
      </c>
      <c r="H593" s="29">
        <v>376000</v>
      </c>
      <c r="I593" s="29">
        <v>71500</v>
      </c>
      <c r="J593" s="29">
        <v>951280000</v>
      </c>
      <c r="K593" s="29">
        <v>3955</v>
      </c>
      <c r="L593" s="29">
        <v>6779</v>
      </c>
      <c r="M593" s="29">
        <v>40</v>
      </c>
      <c r="N593" s="34">
        <v>60</v>
      </c>
      <c r="O593" s="29">
        <f t="shared" si="98"/>
        <v>5367</v>
      </c>
      <c r="P593" s="32" cm="1">
        <f t="array" ref="P593">WPNFACTOR(C593)</f>
        <v>4</v>
      </c>
      <c r="Q593" s="34" cm="1">
        <f t="array" ref="Q593">HPFACTOr(C593)</f>
        <v>4</v>
      </c>
      <c r="R593" s="33">
        <f t="shared" si="99"/>
        <v>1341.75</v>
      </c>
      <c r="S593" s="34">
        <f t="shared" si="100"/>
        <v>237820000</v>
      </c>
      <c r="T593" s="33">
        <f t="shared" si="101"/>
        <v>1543.0124999999998</v>
      </c>
      <c r="U593" s="42">
        <f t="shared" si="102"/>
        <v>279788235.29411769</v>
      </c>
      <c r="V593" s="44"/>
      <c r="W593" s="29">
        <f t="shared" si="97"/>
        <v>431716744411.76471</v>
      </c>
      <c r="X593" s="41">
        <f t="shared" si="103"/>
        <v>38.651294093501136</v>
      </c>
      <c r="Y593" s="33">
        <f t="shared" si="104"/>
        <v>810.58716610013289</v>
      </c>
      <c r="Z593" s="33">
        <v>0.8</v>
      </c>
      <c r="AA593" s="29">
        <f t="shared" si="105"/>
        <v>648.46973288010633</v>
      </c>
      <c r="AB593" s="48">
        <f t="shared" si="106"/>
        <v>7557.8737173939062</v>
      </c>
      <c r="AD593" s="47">
        <f t="shared" si="107"/>
        <v>0</v>
      </c>
    </row>
    <row r="594" spans="1:30" x14ac:dyDescent="0.2">
      <c r="A594" s="30" t="s">
        <v>8856</v>
      </c>
      <c r="B594" s="29">
        <v>7</v>
      </c>
      <c r="C594" s="29">
        <v>6</v>
      </c>
      <c r="D594" s="29">
        <v>600</v>
      </c>
      <c r="E594" s="29">
        <v>136500</v>
      </c>
      <c r="F594" s="29">
        <v>39500</v>
      </c>
      <c r="G594" s="29">
        <v>39500</v>
      </c>
      <c r="H594" s="29">
        <v>417500</v>
      </c>
      <c r="I594" s="29">
        <v>63000</v>
      </c>
      <c r="J594" s="29">
        <v>1120570112</v>
      </c>
      <c r="K594" s="29">
        <v>1692</v>
      </c>
      <c r="L594" s="29">
        <v>3703</v>
      </c>
      <c r="M594" s="29">
        <v>10</v>
      </c>
      <c r="N594" s="34">
        <v>60</v>
      </c>
      <c r="O594" s="29">
        <f t="shared" si="98"/>
        <v>2697.5</v>
      </c>
      <c r="P594" s="32" cm="1">
        <f t="array" ref="P594">WPNFACTOR(C594)</f>
        <v>2</v>
      </c>
      <c r="Q594" s="34" cm="1">
        <f t="array" ref="Q594">HPFACTOr(C594)</f>
        <v>4</v>
      </c>
      <c r="R594" s="33">
        <f t="shared" si="99"/>
        <v>1348.75</v>
      </c>
      <c r="S594" s="34">
        <f t="shared" si="100"/>
        <v>280142528</v>
      </c>
      <c r="T594" s="33">
        <f t="shared" si="101"/>
        <v>1551.0624999999998</v>
      </c>
      <c r="U594" s="42">
        <f t="shared" si="102"/>
        <v>291057171.94805193</v>
      </c>
      <c r="V594" s="44"/>
      <c r="W594" s="29">
        <f t="shared" si="97"/>
        <v>451447864764.67523</v>
      </c>
      <c r="X594" s="41">
        <f t="shared" si="103"/>
        <v>38.715768432157283</v>
      </c>
      <c r="Y594" s="33">
        <f t="shared" si="104"/>
        <v>819.69427304775809</v>
      </c>
      <c r="Z594" s="33">
        <v>0.8</v>
      </c>
      <c r="AA594" s="29">
        <f t="shared" si="105"/>
        <v>655.75541843820656</v>
      </c>
      <c r="AB594" s="48">
        <f t="shared" si="106"/>
        <v>7671.3041358228875</v>
      </c>
      <c r="AD594" s="47">
        <f t="shared" si="107"/>
        <v>0</v>
      </c>
    </row>
    <row r="595" spans="1:30" x14ac:dyDescent="0.2">
      <c r="A595" s="30" t="s">
        <v>8856</v>
      </c>
      <c r="B595" s="29">
        <v>8</v>
      </c>
      <c r="C595" s="29">
        <v>3</v>
      </c>
      <c r="D595" s="29">
        <v>625</v>
      </c>
      <c r="E595" s="29">
        <v>63500</v>
      </c>
      <c r="F595" s="29">
        <v>163000</v>
      </c>
      <c r="G595" s="29">
        <v>63500</v>
      </c>
      <c r="H595" s="29">
        <v>507500</v>
      </c>
      <c r="I595" s="29">
        <v>93500</v>
      </c>
      <c r="J595" s="29">
        <v>1417955072</v>
      </c>
      <c r="K595" s="29">
        <v>2734</v>
      </c>
      <c r="L595" s="29">
        <v>4686</v>
      </c>
      <c r="M595" s="29">
        <v>50</v>
      </c>
      <c r="N595" s="34">
        <v>60</v>
      </c>
      <c r="O595" s="29">
        <f t="shared" si="98"/>
        <v>3710</v>
      </c>
      <c r="P595" s="32" cm="1">
        <f t="array" ref="P595">WPNFACTOR(C595)</f>
        <v>2.5</v>
      </c>
      <c r="Q595" s="34" cm="1">
        <f t="array" ref="Q595">HPFACTOr(C595)</f>
        <v>4</v>
      </c>
      <c r="R595" s="33">
        <f t="shared" si="99"/>
        <v>1484</v>
      </c>
      <c r="S595" s="34">
        <f t="shared" si="100"/>
        <v>354488768</v>
      </c>
      <c r="T595" s="33">
        <f t="shared" si="101"/>
        <v>1706.6</v>
      </c>
      <c r="U595" s="42">
        <f t="shared" si="102"/>
        <v>436293868.30769235</v>
      </c>
      <c r="V595" s="44"/>
      <c r="W595" s="29">
        <f t="shared" si="97"/>
        <v>744579115653.90771</v>
      </c>
      <c r="X595" s="41">
        <f t="shared" si="103"/>
        <v>39.437634195049689</v>
      </c>
      <c r="Y595" s="33">
        <f t="shared" si="104"/>
        <v>928.91871489457048</v>
      </c>
      <c r="Z595" s="33">
        <v>0.8</v>
      </c>
      <c r="AA595" s="29">
        <f t="shared" si="105"/>
        <v>743.13497191565648</v>
      </c>
      <c r="AB595" s="48">
        <f t="shared" si="106"/>
        <v>9063.660233655979</v>
      </c>
      <c r="AD595" s="47">
        <f t="shared" si="107"/>
        <v>0</v>
      </c>
    </row>
    <row r="596" spans="1:30" x14ac:dyDescent="0.2">
      <c r="A596" s="30" t="s">
        <v>8856</v>
      </c>
      <c r="B596" s="29">
        <v>9</v>
      </c>
      <c r="C596" s="29">
        <v>6</v>
      </c>
      <c r="D596" s="29">
        <v>645</v>
      </c>
      <c r="E596" s="29">
        <v>182000</v>
      </c>
      <c r="F596" s="29">
        <v>42000</v>
      </c>
      <c r="G596" s="29">
        <v>42000</v>
      </c>
      <c r="H596" s="29">
        <v>575000</v>
      </c>
      <c r="I596" s="29">
        <v>100000</v>
      </c>
      <c r="J596" s="29">
        <v>1657149952</v>
      </c>
      <c r="K596" s="29">
        <v>1847</v>
      </c>
      <c r="L596" s="29">
        <v>3877</v>
      </c>
      <c r="M596" s="29">
        <v>50</v>
      </c>
      <c r="N596" s="34">
        <v>60</v>
      </c>
      <c r="O596" s="29">
        <f t="shared" si="98"/>
        <v>2862</v>
      </c>
      <c r="P596" s="32" cm="1">
        <f t="array" ref="P596">WPNFACTOR(C596)</f>
        <v>2</v>
      </c>
      <c r="Q596" s="34" cm="1">
        <f t="array" ref="Q596">HPFACTOr(C596)</f>
        <v>4</v>
      </c>
      <c r="R596" s="33">
        <f t="shared" si="99"/>
        <v>1431</v>
      </c>
      <c r="S596" s="34">
        <f t="shared" si="100"/>
        <v>414287488</v>
      </c>
      <c r="T596" s="33">
        <f t="shared" si="101"/>
        <v>1645.6499999999999</v>
      </c>
      <c r="U596" s="42">
        <f t="shared" si="102"/>
        <v>509892292.92307699</v>
      </c>
      <c r="V596" s="44"/>
      <c r="W596" s="29">
        <f t="shared" si="97"/>
        <v>839104251848.86157</v>
      </c>
      <c r="X596" s="41">
        <f t="shared" si="103"/>
        <v>39.610059108635575</v>
      </c>
      <c r="Y596" s="33">
        <f t="shared" si="104"/>
        <v>957.09264858047982</v>
      </c>
      <c r="Z596" s="33">
        <v>0.8</v>
      </c>
      <c r="AA596" s="29">
        <f t="shared" si="105"/>
        <v>765.6741188643839</v>
      </c>
      <c r="AB596" s="48">
        <f t="shared" si="106"/>
        <v>9432.0329061420271</v>
      </c>
      <c r="AD596" s="47">
        <f t="shared" si="107"/>
        <v>0</v>
      </c>
    </row>
    <row r="597" spans="1:30" x14ac:dyDescent="0.2">
      <c r="A597" s="30" t="s">
        <v>8856</v>
      </c>
      <c r="B597" s="29">
        <v>10</v>
      </c>
      <c r="C597" s="29">
        <v>6</v>
      </c>
      <c r="D597" s="29">
        <v>660</v>
      </c>
      <c r="E597" s="29">
        <v>229500</v>
      </c>
      <c r="F597" s="29">
        <v>62500</v>
      </c>
      <c r="G597" s="29">
        <v>62500</v>
      </c>
      <c r="H597" s="29">
        <v>711000</v>
      </c>
      <c r="I597" s="29">
        <v>137000</v>
      </c>
      <c r="J597" s="29">
        <v>2096028032</v>
      </c>
      <c r="K597" s="29">
        <v>1852</v>
      </c>
      <c r="L597" s="29">
        <v>3899</v>
      </c>
      <c r="M597" s="29">
        <v>60</v>
      </c>
      <c r="N597" s="34">
        <v>60</v>
      </c>
      <c r="O597" s="29">
        <f t="shared" si="98"/>
        <v>2875.5</v>
      </c>
      <c r="P597" s="32" cm="1">
        <f t="array" ref="P597">WPNFACTOR(C597)</f>
        <v>2</v>
      </c>
      <c r="Q597" s="34" cm="1">
        <f t="array" ref="Q597">HPFACTOr(C597)</f>
        <v>4</v>
      </c>
      <c r="R597" s="33">
        <f t="shared" si="99"/>
        <v>1437.75</v>
      </c>
      <c r="S597" s="34">
        <f t="shared" si="100"/>
        <v>524007008</v>
      </c>
      <c r="T597" s="33">
        <f t="shared" si="101"/>
        <v>1653.4124999999999</v>
      </c>
      <c r="U597" s="42">
        <f t="shared" si="102"/>
        <v>676138074.83870971</v>
      </c>
      <c r="V597" s="44"/>
      <c r="W597" s="29">
        <f t="shared" si="97"/>
        <v>1117935144664.2581</v>
      </c>
      <c r="X597" s="41">
        <f t="shared" si="103"/>
        <v>40.023973633461601</v>
      </c>
      <c r="Y597" s="33">
        <f t="shared" si="104"/>
        <v>1028.2628661607673</v>
      </c>
      <c r="Z597" s="33">
        <v>0.8</v>
      </c>
      <c r="AA597" s="29">
        <f t="shared" si="105"/>
        <v>822.61029292861394</v>
      </c>
      <c r="AB597" s="48">
        <f t="shared" si="106"/>
        <v>10378.60228414527</v>
      </c>
      <c r="AD597" s="47">
        <f t="shared" si="107"/>
        <v>0</v>
      </c>
    </row>
    <row r="598" spans="1:30" x14ac:dyDescent="0.2">
      <c r="A598" s="30" t="s">
        <v>8857</v>
      </c>
      <c r="B598" s="29">
        <v>1</v>
      </c>
      <c r="C598" s="29">
        <v>2</v>
      </c>
      <c r="D598" s="29">
        <v>345</v>
      </c>
      <c r="E598" s="29">
        <v>15000</v>
      </c>
      <c r="F598" s="29">
        <v>15000</v>
      </c>
      <c r="G598" s="29">
        <v>45000</v>
      </c>
      <c r="H598" s="29">
        <v>200000</v>
      </c>
      <c r="I598" s="29">
        <v>23500</v>
      </c>
      <c r="J598" s="29">
        <v>2875500032</v>
      </c>
      <c r="K598" s="29">
        <v>1038</v>
      </c>
      <c r="L598" s="29">
        <v>2069</v>
      </c>
      <c r="M598" s="29">
        <v>5</v>
      </c>
      <c r="N598" s="34">
        <v>30</v>
      </c>
      <c r="O598" s="29">
        <f t="shared" si="98"/>
        <v>1553.5</v>
      </c>
      <c r="P598" s="32" cm="1">
        <f t="array" ref="P598">WPNFACTOR(C598)</f>
        <v>4.5</v>
      </c>
      <c r="Q598" s="34" cm="1">
        <f t="array" ref="Q598">HPFACTOr(C598)</f>
        <v>2</v>
      </c>
      <c r="R598" s="33">
        <f t="shared" si="99"/>
        <v>345.22222222222223</v>
      </c>
      <c r="S598" s="34">
        <f t="shared" si="100"/>
        <v>1437750016</v>
      </c>
      <c r="T598" s="33">
        <f t="shared" si="101"/>
        <v>371.11388888888888</v>
      </c>
      <c r="U598" s="42">
        <f t="shared" si="102"/>
        <v>1465222946.2420382</v>
      </c>
      <c r="V598" s="44"/>
      <c r="W598" s="29">
        <f t="shared" si="97"/>
        <v>543764585669.11816</v>
      </c>
      <c r="X598" s="41">
        <f t="shared" si="103"/>
        <v>38.984191238258511</v>
      </c>
      <c r="Y598" s="33">
        <f t="shared" si="104"/>
        <v>858.7222776493071</v>
      </c>
      <c r="Z598" s="33">
        <v>0.8</v>
      </c>
      <c r="AA598" s="29">
        <f t="shared" si="105"/>
        <v>686.9778221194457</v>
      </c>
      <c r="AB598" s="48">
        <f t="shared" si="106"/>
        <v>8162.1324847856522</v>
      </c>
      <c r="AD598" s="47">
        <f t="shared" si="107"/>
        <v>0</v>
      </c>
    </row>
    <row r="599" spans="1:30" x14ac:dyDescent="0.2">
      <c r="A599" s="30" t="s">
        <v>8857</v>
      </c>
      <c r="B599" s="29">
        <v>2</v>
      </c>
      <c r="C599" s="29">
        <v>1</v>
      </c>
      <c r="D599" s="29">
        <v>390</v>
      </c>
      <c r="E599" s="29">
        <v>60000</v>
      </c>
      <c r="F599" s="29">
        <v>20000</v>
      </c>
      <c r="G599" s="29">
        <v>20000</v>
      </c>
      <c r="H599" s="29">
        <v>220000</v>
      </c>
      <c r="I599" s="29">
        <v>31500</v>
      </c>
      <c r="J599" s="29">
        <v>8910000128</v>
      </c>
      <c r="K599" s="29">
        <v>520</v>
      </c>
      <c r="L599" s="29">
        <v>1049</v>
      </c>
      <c r="M599" s="29">
        <v>10</v>
      </c>
      <c r="N599" s="34">
        <v>35</v>
      </c>
      <c r="O599" s="29">
        <f t="shared" si="98"/>
        <v>784.5</v>
      </c>
      <c r="P599" s="32" cm="1">
        <f t="array" ref="P599">WPNFACTOR(C599)</f>
        <v>2</v>
      </c>
      <c r="Q599" s="34" cm="1">
        <f t="array" ref="Q599">HPFACTOr(C599)</f>
        <v>5</v>
      </c>
      <c r="R599" s="33">
        <f t="shared" si="99"/>
        <v>392.25</v>
      </c>
      <c r="S599" s="34">
        <f t="shared" si="100"/>
        <v>1782000025.5999999</v>
      </c>
      <c r="T599" s="33">
        <f t="shared" si="101"/>
        <v>426.57187499999998</v>
      </c>
      <c r="U599" s="42">
        <f t="shared" si="102"/>
        <v>1851428598.025974</v>
      </c>
      <c r="V599" s="44"/>
      <c r="W599" s="29">
        <f t="shared" si="97"/>
        <v>789767368488.56104</v>
      </c>
      <c r="X599" s="41">
        <f t="shared" si="103"/>
        <v>39.522636803693608</v>
      </c>
      <c r="Y599" s="33">
        <f t="shared" si="104"/>
        <v>942.7027986840269</v>
      </c>
      <c r="Z599" s="33">
        <v>0.8</v>
      </c>
      <c r="AA599" s="29">
        <f t="shared" si="105"/>
        <v>754.16223894722157</v>
      </c>
      <c r="AB599" s="48">
        <f t="shared" si="106"/>
        <v>9243.4279823154848</v>
      </c>
      <c r="AD599" s="47">
        <f t="shared" si="107"/>
        <v>0</v>
      </c>
    </row>
    <row r="600" spans="1:30" x14ac:dyDescent="0.2">
      <c r="A600" s="30" t="s">
        <v>8857</v>
      </c>
      <c r="B600" s="29">
        <v>3</v>
      </c>
      <c r="C600" s="29">
        <v>3</v>
      </c>
      <c r="D600" s="29">
        <v>435</v>
      </c>
      <c r="E600" s="29">
        <v>25000</v>
      </c>
      <c r="F600" s="29">
        <v>75000</v>
      </c>
      <c r="G600" s="29">
        <v>25000</v>
      </c>
      <c r="H600" s="29">
        <v>240000</v>
      </c>
      <c r="I600" s="29">
        <v>45000</v>
      </c>
      <c r="J600" s="29">
        <v>8650800128</v>
      </c>
      <c r="K600" s="29">
        <v>725</v>
      </c>
      <c r="L600" s="29">
        <v>1459</v>
      </c>
      <c r="M600" s="29">
        <v>15</v>
      </c>
      <c r="N600" s="34">
        <v>35</v>
      </c>
      <c r="O600" s="29">
        <f t="shared" si="98"/>
        <v>1092</v>
      </c>
      <c r="P600" s="32" cm="1">
        <f t="array" ref="P600">WPNFACTOR(C600)</f>
        <v>2.5</v>
      </c>
      <c r="Q600" s="34" cm="1">
        <f t="array" ref="Q600">HPFACTOr(C600)</f>
        <v>4</v>
      </c>
      <c r="R600" s="33">
        <f t="shared" si="99"/>
        <v>436.8</v>
      </c>
      <c r="S600" s="34">
        <f t="shared" si="100"/>
        <v>2162700032</v>
      </c>
      <c r="T600" s="33">
        <f t="shared" si="101"/>
        <v>475.02</v>
      </c>
      <c r="U600" s="42">
        <f t="shared" si="102"/>
        <v>2291602682.9139075</v>
      </c>
      <c r="V600" s="44"/>
      <c r="W600" s="29">
        <f t="shared" ref="W600:W663" si="108">T600*U600</f>
        <v>1088557106437.7643</v>
      </c>
      <c r="X600" s="41">
        <f t="shared" si="103"/>
        <v>39.98555423291171</v>
      </c>
      <c r="Y600" s="33">
        <f t="shared" si="104"/>
        <v>1021.4398667389114</v>
      </c>
      <c r="Z600" s="33">
        <v>0.8</v>
      </c>
      <c r="AA600" s="29">
        <f t="shared" si="105"/>
        <v>817.15189339112919</v>
      </c>
      <c r="AB600" s="48">
        <f t="shared" si="106"/>
        <v>10286.881550253887</v>
      </c>
      <c r="AD600" s="47">
        <f t="shared" si="107"/>
        <v>0</v>
      </c>
    </row>
    <row r="601" spans="1:30" x14ac:dyDescent="0.2">
      <c r="A601" s="30" t="s">
        <v>8857</v>
      </c>
      <c r="B601" s="29">
        <v>4</v>
      </c>
      <c r="C601" s="29">
        <v>2</v>
      </c>
      <c r="D601" s="29">
        <v>485</v>
      </c>
      <c r="E601" s="29">
        <v>30000</v>
      </c>
      <c r="F601" s="29">
        <v>30000</v>
      </c>
      <c r="G601" s="29">
        <v>90000</v>
      </c>
      <c r="H601" s="29">
        <v>260000</v>
      </c>
      <c r="I601" s="29">
        <v>48500</v>
      </c>
      <c r="J601" s="29">
        <v>5212349952</v>
      </c>
      <c r="K601" s="29">
        <v>1460</v>
      </c>
      <c r="L601" s="29">
        <v>2919</v>
      </c>
      <c r="M601" s="29">
        <v>20</v>
      </c>
      <c r="N601" s="34">
        <v>40</v>
      </c>
      <c r="O601" s="29">
        <f t="shared" si="98"/>
        <v>2189.5</v>
      </c>
      <c r="P601" s="32" cm="1">
        <f t="array" ref="P601">WPNFACTOR(C601)</f>
        <v>4.5</v>
      </c>
      <c r="Q601" s="34" cm="1">
        <f t="array" ref="Q601">HPFACTOr(C601)</f>
        <v>2</v>
      </c>
      <c r="R601" s="33">
        <f t="shared" si="99"/>
        <v>486.55555555555554</v>
      </c>
      <c r="S601" s="34">
        <f t="shared" si="100"/>
        <v>2606174976</v>
      </c>
      <c r="T601" s="33">
        <f t="shared" si="101"/>
        <v>535.21111111111111</v>
      </c>
      <c r="U601" s="42">
        <f t="shared" si="102"/>
        <v>2817486460.5405407</v>
      </c>
      <c r="V601" s="44"/>
      <c r="W601" s="29">
        <f t="shared" si="108"/>
        <v>1507950059086.4146</v>
      </c>
      <c r="X601" s="41">
        <f t="shared" si="103"/>
        <v>40.455725788275195</v>
      </c>
      <c r="Y601" s="33">
        <f t="shared" si="104"/>
        <v>1108.1453786990301</v>
      </c>
      <c r="Z601" s="33">
        <v>0.8</v>
      </c>
      <c r="AA601" s="29">
        <f t="shared" si="105"/>
        <v>886.51630295922405</v>
      </c>
      <c r="AB601" s="48">
        <f t="shared" si="106"/>
        <v>11467.33023728578</v>
      </c>
      <c r="AD601" s="47">
        <f t="shared" si="107"/>
        <v>0</v>
      </c>
    </row>
    <row r="602" spans="1:30" x14ac:dyDescent="0.2">
      <c r="A602" s="30" t="s">
        <v>8857</v>
      </c>
      <c r="B602" s="29">
        <v>5</v>
      </c>
      <c r="C602" s="29">
        <v>2</v>
      </c>
      <c r="D602" s="29">
        <v>525</v>
      </c>
      <c r="E602" s="29">
        <v>35000</v>
      </c>
      <c r="F602" s="29">
        <v>35000</v>
      </c>
      <c r="G602" s="29">
        <v>105000</v>
      </c>
      <c r="H602" s="29">
        <v>280000</v>
      </c>
      <c r="I602" s="29">
        <v>53500</v>
      </c>
      <c r="J602" s="29">
        <v>6066899968</v>
      </c>
      <c r="K602" s="29">
        <v>1578</v>
      </c>
      <c r="L602" s="29">
        <v>3159</v>
      </c>
      <c r="M602" s="29">
        <v>25</v>
      </c>
      <c r="N602" s="34">
        <v>40</v>
      </c>
      <c r="O602" s="29">
        <f t="shared" si="98"/>
        <v>2368.5</v>
      </c>
      <c r="P602" s="32" cm="1">
        <f t="array" ref="P602">WPNFACTOR(C602)</f>
        <v>4.5</v>
      </c>
      <c r="Q602" s="34" cm="1">
        <f t="array" ref="Q602">HPFACTOr(C602)</f>
        <v>2</v>
      </c>
      <c r="R602" s="33">
        <f t="shared" si="99"/>
        <v>526.33333333333337</v>
      </c>
      <c r="S602" s="34">
        <f t="shared" si="100"/>
        <v>3033449984</v>
      </c>
      <c r="T602" s="33">
        <f t="shared" si="101"/>
        <v>578.96666666666681</v>
      </c>
      <c r="U602" s="42">
        <f t="shared" si="102"/>
        <v>3347255154.7586212</v>
      </c>
      <c r="V602" s="44"/>
      <c r="W602" s="29">
        <f t="shared" si="108"/>
        <v>1937949159433.417</v>
      </c>
      <c r="X602" s="41">
        <f t="shared" si="103"/>
        <v>40.817667861932108</v>
      </c>
      <c r="Y602" s="33">
        <f t="shared" si="104"/>
        <v>1179.8739018171348</v>
      </c>
      <c r="Z602" s="33">
        <v>0.8</v>
      </c>
      <c r="AA602" s="29">
        <f t="shared" si="105"/>
        <v>943.89912145370783</v>
      </c>
      <c r="AB602" s="48">
        <f t="shared" si="106"/>
        <v>12467.540657704612</v>
      </c>
      <c r="AD602" s="47">
        <f t="shared" si="107"/>
        <v>0</v>
      </c>
    </row>
    <row r="603" spans="1:30" x14ac:dyDescent="0.2">
      <c r="A603" s="30" t="s">
        <v>8857</v>
      </c>
      <c r="B603" s="29">
        <v>6</v>
      </c>
      <c r="C603" s="29">
        <v>1</v>
      </c>
      <c r="D603" s="29">
        <v>565</v>
      </c>
      <c r="E603" s="29">
        <v>120000</v>
      </c>
      <c r="F603" s="29">
        <v>40000</v>
      </c>
      <c r="G603" s="29">
        <v>40000</v>
      </c>
      <c r="H603" s="29">
        <v>300000</v>
      </c>
      <c r="I603" s="29">
        <v>71500</v>
      </c>
      <c r="J603" s="29">
        <v>17465624576</v>
      </c>
      <c r="K603" s="29">
        <v>750</v>
      </c>
      <c r="L603" s="29">
        <v>1509</v>
      </c>
      <c r="M603" s="29">
        <v>40</v>
      </c>
      <c r="N603" s="34">
        <v>45</v>
      </c>
      <c r="O603" s="29">
        <f t="shared" si="98"/>
        <v>1129.5</v>
      </c>
      <c r="P603" s="32" cm="1">
        <f t="array" ref="P603">WPNFACTOR(C603)</f>
        <v>2</v>
      </c>
      <c r="Q603" s="34" cm="1">
        <f t="array" ref="Q603">HPFACTOr(C603)</f>
        <v>5</v>
      </c>
      <c r="R603" s="33">
        <f t="shared" si="99"/>
        <v>564.75</v>
      </c>
      <c r="S603" s="34">
        <f t="shared" si="100"/>
        <v>3493124915.1999998</v>
      </c>
      <c r="T603" s="33">
        <f t="shared" si="101"/>
        <v>628.28437500000007</v>
      </c>
      <c r="U603" s="42">
        <f t="shared" si="102"/>
        <v>4109558723.7647061</v>
      </c>
      <c r="V603" s="44"/>
      <c r="W603" s="29">
        <f t="shared" si="108"/>
        <v>2581971534286.3062</v>
      </c>
      <c r="X603" s="41">
        <f t="shared" si="103"/>
        <v>41.231610233960239</v>
      </c>
      <c r="Y603" s="33">
        <f t="shared" si="104"/>
        <v>1267.6164384540057</v>
      </c>
      <c r="Z603" s="33">
        <v>0.8</v>
      </c>
      <c r="AA603" s="29">
        <f t="shared" si="105"/>
        <v>1014.0931507632046</v>
      </c>
      <c r="AB603" s="48">
        <f t="shared" si="106"/>
        <v>13718.832385197833</v>
      </c>
      <c r="AD603" s="47">
        <f t="shared" si="107"/>
        <v>0</v>
      </c>
    </row>
    <row r="604" spans="1:30" x14ac:dyDescent="0.2">
      <c r="A604" s="30" t="s">
        <v>8857</v>
      </c>
      <c r="B604" s="29">
        <v>7</v>
      </c>
      <c r="C604" s="29">
        <v>1</v>
      </c>
      <c r="D604" s="29">
        <v>600</v>
      </c>
      <c r="E604" s="29">
        <v>135000</v>
      </c>
      <c r="F604" s="29">
        <v>45000</v>
      </c>
      <c r="G604" s="29">
        <v>45000</v>
      </c>
      <c r="H604" s="29">
        <v>320000</v>
      </c>
      <c r="I604" s="29">
        <v>63000</v>
      </c>
      <c r="J604" s="29">
        <v>19764000768</v>
      </c>
      <c r="K604" s="29">
        <v>800</v>
      </c>
      <c r="L604" s="29">
        <v>1599</v>
      </c>
      <c r="M604" s="29">
        <v>20</v>
      </c>
      <c r="N604" s="34">
        <v>45</v>
      </c>
      <c r="O604" s="29">
        <f t="shared" si="98"/>
        <v>1199.5</v>
      </c>
      <c r="P604" s="32" cm="1">
        <f t="array" ref="P604">WPNFACTOR(C604)</f>
        <v>2</v>
      </c>
      <c r="Q604" s="34" cm="1">
        <f t="array" ref="Q604">HPFACTOr(C604)</f>
        <v>5</v>
      </c>
      <c r="R604" s="33">
        <f t="shared" si="99"/>
        <v>599.75</v>
      </c>
      <c r="S604" s="34">
        <f t="shared" si="100"/>
        <v>3952800153.5999999</v>
      </c>
      <c r="T604" s="33">
        <f t="shared" si="101"/>
        <v>667.22187500000007</v>
      </c>
      <c r="U604" s="42">
        <f t="shared" si="102"/>
        <v>4273297463.3513517</v>
      </c>
      <c r="V604" s="44"/>
      <c r="W604" s="29">
        <f t="shared" si="108"/>
        <v>2851237545930.0332</v>
      </c>
      <c r="X604" s="41">
        <f t="shared" si="103"/>
        <v>41.374725378576215</v>
      </c>
      <c r="Y604" s="33">
        <f t="shared" si="104"/>
        <v>1299.4463402942993</v>
      </c>
      <c r="Z604" s="33">
        <v>0.8</v>
      </c>
      <c r="AA604" s="29">
        <f t="shared" si="105"/>
        <v>1039.5570722354394</v>
      </c>
      <c r="AB604" s="48">
        <f t="shared" si="106"/>
        <v>14180.051248237445</v>
      </c>
      <c r="AD604" s="47">
        <f t="shared" si="107"/>
        <v>0</v>
      </c>
    </row>
    <row r="605" spans="1:30" x14ac:dyDescent="0.2">
      <c r="A605" s="30" t="s">
        <v>8857</v>
      </c>
      <c r="B605" s="29">
        <v>8</v>
      </c>
      <c r="C605" s="29">
        <v>3</v>
      </c>
      <c r="D605" s="29">
        <v>625</v>
      </c>
      <c r="E605" s="29">
        <v>50000</v>
      </c>
      <c r="F605" s="29">
        <v>150000</v>
      </c>
      <c r="G605" s="29">
        <v>50000</v>
      </c>
      <c r="H605" s="29">
        <v>340000</v>
      </c>
      <c r="I605" s="29">
        <v>93500</v>
      </c>
      <c r="J605" s="29">
        <v>17487900672</v>
      </c>
      <c r="K605" s="29">
        <v>1045</v>
      </c>
      <c r="L605" s="29">
        <v>2089</v>
      </c>
      <c r="M605" s="29">
        <v>60</v>
      </c>
      <c r="N605" s="34">
        <v>50</v>
      </c>
      <c r="O605" s="29">
        <f t="shared" si="98"/>
        <v>1567</v>
      </c>
      <c r="P605" s="32" cm="1">
        <f t="array" ref="P605">WPNFACTOR(C605)</f>
        <v>2.5</v>
      </c>
      <c r="Q605" s="34" cm="1">
        <f t="array" ref="Q605">HPFACTOr(C605)</f>
        <v>4</v>
      </c>
      <c r="R605" s="33">
        <f t="shared" si="99"/>
        <v>626.79999999999995</v>
      </c>
      <c r="S605" s="34">
        <f t="shared" si="100"/>
        <v>4371975168</v>
      </c>
      <c r="T605" s="33">
        <f t="shared" si="101"/>
        <v>705.15</v>
      </c>
      <c r="U605" s="42">
        <f t="shared" si="102"/>
        <v>5641258281.2903223</v>
      </c>
      <c r="V605" s="44"/>
      <c r="W605" s="29">
        <f t="shared" si="108"/>
        <v>3977933277051.8706</v>
      </c>
      <c r="X605" s="41">
        <f t="shared" si="103"/>
        <v>41.85515621630978</v>
      </c>
      <c r="Y605" s="33">
        <f t="shared" si="104"/>
        <v>1412.2590731739224</v>
      </c>
      <c r="Z605" s="33">
        <v>0.8</v>
      </c>
      <c r="AA605" s="29">
        <f t="shared" si="105"/>
        <v>1129.807258539138</v>
      </c>
      <c r="AB605" s="48">
        <f t="shared" si="106"/>
        <v>15844.766060105423</v>
      </c>
      <c r="AD605" s="47">
        <f t="shared" si="107"/>
        <v>0</v>
      </c>
    </row>
    <row r="606" spans="1:30" x14ac:dyDescent="0.2">
      <c r="A606" s="30" t="s">
        <v>8857</v>
      </c>
      <c r="B606" s="29">
        <v>9</v>
      </c>
      <c r="C606" s="29">
        <v>3</v>
      </c>
      <c r="D606" s="29">
        <v>645</v>
      </c>
      <c r="E606" s="29">
        <v>75000</v>
      </c>
      <c r="F606" s="29">
        <v>200000</v>
      </c>
      <c r="G606" s="29">
        <v>75000</v>
      </c>
      <c r="H606" s="29">
        <v>360000</v>
      </c>
      <c r="I606" s="29">
        <v>100000</v>
      </c>
      <c r="J606" s="29">
        <v>19099799552</v>
      </c>
      <c r="K606" s="29">
        <v>1075</v>
      </c>
      <c r="L606" s="29">
        <v>2159</v>
      </c>
      <c r="M606" s="29">
        <v>60</v>
      </c>
      <c r="N606" s="34">
        <v>60</v>
      </c>
      <c r="O606" s="29">
        <f t="shared" si="98"/>
        <v>1617</v>
      </c>
      <c r="P606" s="32" cm="1">
        <f t="array" ref="P606">WPNFACTOR(C606)</f>
        <v>2.5</v>
      </c>
      <c r="Q606" s="34" cm="1">
        <f t="array" ref="Q606">HPFACTOr(C606)</f>
        <v>4</v>
      </c>
      <c r="R606" s="33">
        <f t="shared" si="99"/>
        <v>646.79999999999995</v>
      </c>
      <c r="S606" s="34">
        <f t="shared" si="100"/>
        <v>4774949888</v>
      </c>
      <c r="T606" s="33">
        <f t="shared" si="101"/>
        <v>743.81999999999994</v>
      </c>
      <c r="U606" s="42">
        <f t="shared" si="102"/>
        <v>6161225661.9354839</v>
      </c>
      <c r="V606" s="44"/>
      <c r="W606" s="29">
        <f t="shared" si="108"/>
        <v>4582842871860.8516</v>
      </c>
      <c r="X606" s="41">
        <f t="shared" si="103"/>
        <v>42.059379960718154</v>
      </c>
      <c r="Y606" s="33">
        <f t="shared" si="104"/>
        <v>1463.132784903019</v>
      </c>
      <c r="Z606" s="33">
        <v>0.8</v>
      </c>
      <c r="AA606" s="29">
        <f t="shared" si="105"/>
        <v>1170.5062279224153</v>
      </c>
      <c r="AB606" s="48">
        <f t="shared" si="106"/>
        <v>16610.332358624342</v>
      </c>
      <c r="AD606" s="47">
        <f t="shared" si="107"/>
        <v>0</v>
      </c>
    </row>
    <row r="607" spans="1:30" x14ac:dyDescent="0.2">
      <c r="A607" s="30" t="s">
        <v>8857</v>
      </c>
      <c r="B607" s="29">
        <v>10</v>
      </c>
      <c r="C607" s="29">
        <v>2</v>
      </c>
      <c r="D607" s="29">
        <v>660</v>
      </c>
      <c r="E607" s="29">
        <v>100000</v>
      </c>
      <c r="F607" s="29">
        <v>100000</v>
      </c>
      <c r="G607" s="29">
        <v>250000</v>
      </c>
      <c r="H607" s="29">
        <v>500000</v>
      </c>
      <c r="I607" s="29">
        <v>137000</v>
      </c>
      <c r="J607" s="29">
        <v>13567500288</v>
      </c>
      <c r="K607" s="29">
        <v>2000</v>
      </c>
      <c r="L607" s="29">
        <v>4000</v>
      </c>
      <c r="M607" s="29">
        <v>60</v>
      </c>
      <c r="N607" s="34">
        <v>60</v>
      </c>
      <c r="O607" s="29">
        <f t="shared" si="98"/>
        <v>3000</v>
      </c>
      <c r="P607" s="32" cm="1">
        <f t="array" ref="P607">WPNFACTOR(C607)</f>
        <v>4.5</v>
      </c>
      <c r="Q607" s="34" cm="1">
        <f t="array" ref="Q607">HPFACTOr(C607)</f>
        <v>2</v>
      </c>
      <c r="R607" s="33">
        <f t="shared" si="99"/>
        <v>666.66666666666663</v>
      </c>
      <c r="S607" s="34">
        <f t="shared" si="100"/>
        <v>6783750144</v>
      </c>
      <c r="T607" s="33">
        <f t="shared" si="101"/>
        <v>766.66666666666652</v>
      </c>
      <c r="U607" s="42">
        <f t="shared" si="102"/>
        <v>8753225992.2580662</v>
      </c>
      <c r="V607" s="44"/>
      <c r="W607" s="29">
        <f t="shared" si="108"/>
        <v>6710806594064.5156</v>
      </c>
      <c r="X607" s="41">
        <f t="shared" si="103"/>
        <v>42.609623317789371</v>
      </c>
      <c r="Y607" s="33">
        <f t="shared" si="104"/>
        <v>1609.5100048808852</v>
      </c>
      <c r="Z607" s="33">
        <v>0.8</v>
      </c>
      <c r="AA607" s="29">
        <f t="shared" si="105"/>
        <v>1287.6080039047083</v>
      </c>
      <c r="AB607" s="48">
        <f t="shared" si="106"/>
        <v>18862.166502748256</v>
      </c>
      <c r="AD607" s="47">
        <f t="shared" si="107"/>
        <v>0</v>
      </c>
    </row>
    <row r="608" spans="1:30" x14ac:dyDescent="0.2">
      <c r="A608" s="30" t="s">
        <v>8858</v>
      </c>
      <c r="B608" s="29">
        <v>1</v>
      </c>
      <c r="C608" s="29">
        <v>2</v>
      </c>
      <c r="D608" s="29">
        <v>400</v>
      </c>
      <c r="E608" s="29">
        <v>35000</v>
      </c>
      <c r="F608" s="29">
        <v>15000</v>
      </c>
      <c r="G608" s="29">
        <v>35000</v>
      </c>
      <c r="H608" s="29">
        <v>180000</v>
      </c>
      <c r="I608" s="29">
        <v>20000</v>
      </c>
      <c r="J608" s="29">
        <v>6074999808</v>
      </c>
      <c r="K608" s="29">
        <v>1351</v>
      </c>
      <c r="L608" s="29">
        <v>2249</v>
      </c>
      <c r="N608" s="34"/>
      <c r="O608" s="29">
        <f t="shared" si="98"/>
        <v>1800</v>
      </c>
      <c r="P608" s="32" cm="1">
        <f t="array" ref="P608">WPNFACTOR(C608)</f>
        <v>4.5</v>
      </c>
      <c r="Q608" s="34" cm="1">
        <f t="array" ref="Q608">HPFACTOr(C608)</f>
        <v>2</v>
      </c>
      <c r="R608" s="33">
        <f t="shared" si="99"/>
        <v>400</v>
      </c>
      <c r="S608" s="34">
        <f t="shared" si="100"/>
        <v>3037499904</v>
      </c>
      <c r="T608" s="33">
        <f t="shared" si="101"/>
        <v>400</v>
      </c>
      <c r="U608" s="42">
        <f t="shared" si="102"/>
        <v>3037499904</v>
      </c>
      <c r="V608" s="44"/>
      <c r="W608" s="29">
        <f t="shared" si="108"/>
        <v>1214999961600</v>
      </c>
      <c r="X608" s="41">
        <f t="shared" si="103"/>
        <v>40.144093406883115</v>
      </c>
      <c r="Y608" s="33">
        <f t="shared" si="104"/>
        <v>1049.8906451787423</v>
      </c>
      <c r="Z608" s="33">
        <v>0.8</v>
      </c>
      <c r="AA608" s="29">
        <f t="shared" si="105"/>
        <v>839.91251614299381</v>
      </c>
      <c r="AB608" s="48">
        <f t="shared" si="106"/>
        <v>10670.679801054777</v>
      </c>
      <c r="AD608" s="47">
        <f t="shared" si="107"/>
        <v>0</v>
      </c>
    </row>
    <row r="609" spans="1:30" x14ac:dyDescent="0.2">
      <c r="A609" s="30" t="s">
        <v>8858</v>
      </c>
      <c r="B609" s="29">
        <v>2</v>
      </c>
      <c r="C609" s="29">
        <v>1</v>
      </c>
      <c r="D609" s="29">
        <v>400</v>
      </c>
      <c r="E609" s="29">
        <v>45000</v>
      </c>
      <c r="F609" s="29">
        <v>15000</v>
      </c>
      <c r="G609" s="29">
        <v>45000</v>
      </c>
      <c r="H609" s="29">
        <v>200000</v>
      </c>
      <c r="I609" s="29">
        <v>23500</v>
      </c>
      <c r="J609" s="29">
        <v>3037499904</v>
      </c>
      <c r="K609" s="29">
        <v>600</v>
      </c>
      <c r="L609" s="29">
        <v>999</v>
      </c>
      <c r="N609" s="34"/>
      <c r="O609" s="29">
        <f t="shared" si="98"/>
        <v>799.5</v>
      </c>
      <c r="P609" s="32" cm="1">
        <f t="array" ref="P609">WPNFACTOR(C609)</f>
        <v>2</v>
      </c>
      <c r="Q609" s="34" cm="1">
        <f t="array" ref="Q609">HPFACTOr(C609)</f>
        <v>5</v>
      </c>
      <c r="R609" s="33">
        <f t="shared" si="99"/>
        <v>399.75</v>
      </c>
      <c r="S609" s="34">
        <f t="shared" si="100"/>
        <v>607499980.79999995</v>
      </c>
      <c r="T609" s="33">
        <f t="shared" si="101"/>
        <v>399.75</v>
      </c>
      <c r="U609" s="42">
        <f t="shared" si="102"/>
        <v>607499980.79999995</v>
      </c>
      <c r="V609" s="44"/>
      <c r="W609" s="29">
        <f t="shared" si="108"/>
        <v>242848117324.79999</v>
      </c>
      <c r="X609" s="41">
        <f t="shared" si="103"/>
        <v>37.821263345701361</v>
      </c>
      <c r="Y609" s="33">
        <f t="shared" si="104"/>
        <v>701.99446074779667</v>
      </c>
      <c r="Z609" s="33">
        <v>0.8</v>
      </c>
      <c r="AA609" s="29">
        <f t="shared" si="105"/>
        <v>561.59556859823738</v>
      </c>
      <c r="AB609" s="48">
        <f t="shared" si="106"/>
        <v>6238.95108010075</v>
      </c>
      <c r="AD609" s="47">
        <f t="shared" si="107"/>
        <v>0</v>
      </c>
    </row>
    <row r="610" spans="1:30" x14ac:dyDescent="0.2">
      <c r="A610" s="30" t="s">
        <v>8858</v>
      </c>
      <c r="B610" s="29">
        <v>3</v>
      </c>
      <c r="C610" s="29">
        <v>1</v>
      </c>
      <c r="D610" s="29">
        <v>400</v>
      </c>
      <c r="E610" s="29">
        <v>60000</v>
      </c>
      <c r="F610" s="29">
        <v>20000</v>
      </c>
      <c r="G610" s="29">
        <v>20000</v>
      </c>
      <c r="H610" s="29">
        <v>220000</v>
      </c>
      <c r="I610" s="29">
        <v>31500</v>
      </c>
      <c r="J610" s="29">
        <v>8099999744</v>
      </c>
      <c r="K610" s="29">
        <v>600</v>
      </c>
      <c r="L610" s="29">
        <v>999</v>
      </c>
      <c r="N610" s="34"/>
      <c r="O610" s="29">
        <f t="shared" si="98"/>
        <v>799.5</v>
      </c>
      <c r="P610" s="32" cm="1">
        <f t="array" ref="P610">WPNFACTOR(C610)</f>
        <v>2</v>
      </c>
      <c r="Q610" s="34" cm="1">
        <f t="array" ref="Q610">HPFACTOr(C610)</f>
        <v>5</v>
      </c>
      <c r="R610" s="33">
        <f t="shared" si="99"/>
        <v>399.75</v>
      </c>
      <c r="S610" s="34">
        <f t="shared" si="100"/>
        <v>1619999948.8</v>
      </c>
      <c r="T610" s="33">
        <f t="shared" si="101"/>
        <v>399.75</v>
      </c>
      <c r="U610" s="42">
        <f t="shared" si="102"/>
        <v>1619999948.8</v>
      </c>
      <c r="V610" s="44"/>
      <c r="W610" s="29">
        <f t="shared" si="108"/>
        <v>647594979532.79993</v>
      </c>
      <c r="X610" s="41">
        <f t="shared" si="103"/>
        <v>39.236300844980207</v>
      </c>
      <c r="Y610" s="33">
        <f t="shared" si="104"/>
        <v>897.06903982777078</v>
      </c>
      <c r="Z610" s="33">
        <v>0.8</v>
      </c>
      <c r="AA610" s="29">
        <f t="shared" si="105"/>
        <v>717.65523186221662</v>
      </c>
      <c r="AB610" s="48">
        <f t="shared" si="106"/>
        <v>8651.6941430198422</v>
      </c>
      <c r="AD610" s="47">
        <f t="shared" si="107"/>
        <v>0</v>
      </c>
    </row>
    <row r="611" spans="1:30" x14ac:dyDescent="0.2">
      <c r="A611" s="30" t="s">
        <v>8858</v>
      </c>
      <c r="B611" s="29">
        <v>4</v>
      </c>
      <c r="C611" s="29">
        <v>3</v>
      </c>
      <c r="D611" s="29">
        <v>400</v>
      </c>
      <c r="E611" s="29">
        <v>25000</v>
      </c>
      <c r="F611" s="29">
        <v>75000</v>
      </c>
      <c r="G611" s="29">
        <v>25000</v>
      </c>
      <c r="H611" s="29">
        <v>240000</v>
      </c>
      <c r="I611" s="29">
        <v>45000</v>
      </c>
      <c r="J611" s="29">
        <v>8099999744</v>
      </c>
      <c r="K611" s="29">
        <v>750</v>
      </c>
      <c r="L611" s="29">
        <v>1249</v>
      </c>
      <c r="N611" s="34"/>
      <c r="O611" s="29">
        <f t="shared" si="98"/>
        <v>999.5</v>
      </c>
      <c r="P611" s="32" cm="1">
        <f t="array" ref="P611">WPNFACTOR(C611)</f>
        <v>2.5</v>
      </c>
      <c r="Q611" s="34" cm="1">
        <f t="array" ref="Q611">HPFACTOr(C611)</f>
        <v>4</v>
      </c>
      <c r="R611" s="33">
        <f t="shared" si="99"/>
        <v>399.8</v>
      </c>
      <c r="S611" s="34">
        <f t="shared" si="100"/>
        <v>2024999936</v>
      </c>
      <c r="T611" s="33">
        <f t="shared" si="101"/>
        <v>399.8</v>
      </c>
      <c r="U611" s="42">
        <f t="shared" si="102"/>
        <v>2024999936.0000002</v>
      </c>
      <c r="V611" s="44"/>
      <c r="W611" s="29">
        <f t="shared" si="108"/>
        <v>809594974412.80017</v>
      </c>
      <c r="X611" s="41">
        <f t="shared" si="103"/>
        <v>39.558409378244498</v>
      </c>
      <c r="Y611" s="33">
        <f t="shared" si="104"/>
        <v>948.56468290217299</v>
      </c>
      <c r="Z611" s="33">
        <v>0.8</v>
      </c>
      <c r="AA611" s="29">
        <f t="shared" si="105"/>
        <v>758.85174632173846</v>
      </c>
      <c r="AB611" s="48">
        <f t="shared" si="106"/>
        <v>9320.1435444130766</v>
      </c>
      <c r="AD611" s="47">
        <f t="shared" si="107"/>
        <v>0</v>
      </c>
    </row>
    <row r="612" spans="1:30" x14ac:dyDescent="0.2">
      <c r="A612" s="30" t="s">
        <v>8858</v>
      </c>
      <c r="B612" s="29">
        <v>5</v>
      </c>
      <c r="C612" s="29">
        <v>1</v>
      </c>
      <c r="D612" s="29">
        <v>400</v>
      </c>
      <c r="E612" s="29">
        <v>90000</v>
      </c>
      <c r="F612" s="29">
        <v>30000</v>
      </c>
      <c r="G612" s="29">
        <v>30000</v>
      </c>
      <c r="H612" s="29">
        <v>260000</v>
      </c>
      <c r="I612" s="29">
        <v>48500</v>
      </c>
      <c r="J612" s="29">
        <v>5062499840</v>
      </c>
      <c r="K612" s="29">
        <v>600</v>
      </c>
      <c r="L612" s="29">
        <v>999</v>
      </c>
      <c r="N612" s="34"/>
      <c r="O612" s="29">
        <f t="shared" si="98"/>
        <v>799.5</v>
      </c>
      <c r="P612" s="32" cm="1">
        <f t="array" ref="P612">WPNFACTOR(C612)</f>
        <v>2</v>
      </c>
      <c r="Q612" s="34" cm="1">
        <f t="array" ref="Q612">HPFACTOr(C612)</f>
        <v>5</v>
      </c>
      <c r="R612" s="33">
        <f t="shared" si="99"/>
        <v>399.75</v>
      </c>
      <c r="S612" s="34">
        <f t="shared" si="100"/>
        <v>1012499968</v>
      </c>
      <c r="T612" s="33">
        <f t="shared" si="101"/>
        <v>399.75</v>
      </c>
      <c r="U612" s="42">
        <f t="shared" si="102"/>
        <v>1012499968.0000001</v>
      </c>
      <c r="V612" s="44"/>
      <c r="W612" s="29">
        <f t="shared" si="108"/>
        <v>404746862208.00006</v>
      </c>
      <c r="X612" s="41">
        <f t="shared" si="103"/>
        <v>38.558228939867568</v>
      </c>
      <c r="Y612" s="33">
        <f t="shared" si="104"/>
        <v>797.61970145455575</v>
      </c>
      <c r="Z612" s="33">
        <v>0.8</v>
      </c>
      <c r="AA612" s="29">
        <f t="shared" si="105"/>
        <v>638.09576116364462</v>
      </c>
      <c r="AB612" s="48">
        <f t="shared" si="106"/>
        <v>7397.0944412837962</v>
      </c>
      <c r="AD612" s="47">
        <f t="shared" si="107"/>
        <v>0</v>
      </c>
    </row>
    <row r="613" spans="1:30" x14ac:dyDescent="0.2">
      <c r="A613" s="30" t="s">
        <v>8858</v>
      </c>
      <c r="B613" s="29">
        <v>6</v>
      </c>
      <c r="C613" s="29">
        <v>2</v>
      </c>
      <c r="D613" s="29">
        <v>400</v>
      </c>
      <c r="E613" s="29">
        <v>35000</v>
      </c>
      <c r="F613" s="29">
        <v>35000</v>
      </c>
      <c r="G613" s="29">
        <v>105000</v>
      </c>
      <c r="H613" s="29">
        <v>280000</v>
      </c>
      <c r="I613" s="29">
        <v>53500</v>
      </c>
      <c r="J613" s="29">
        <v>6074999808</v>
      </c>
      <c r="K613" s="29">
        <v>1350</v>
      </c>
      <c r="L613" s="29">
        <v>2249</v>
      </c>
      <c r="N613" s="34"/>
      <c r="O613" s="29">
        <f t="shared" si="98"/>
        <v>1799.5</v>
      </c>
      <c r="P613" s="32" cm="1">
        <f t="array" ref="P613">WPNFACTOR(C613)</f>
        <v>4.5</v>
      </c>
      <c r="Q613" s="34" cm="1">
        <f t="array" ref="Q613">HPFACTOr(C613)</f>
        <v>2</v>
      </c>
      <c r="R613" s="33">
        <f t="shared" si="99"/>
        <v>399.88888888888891</v>
      </c>
      <c r="S613" s="34">
        <f t="shared" si="100"/>
        <v>3037499904</v>
      </c>
      <c r="T613" s="33">
        <f t="shared" si="101"/>
        <v>399.88888888888891</v>
      </c>
      <c r="U613" s="42">
        <f t="shared" si="102"/>
        <v>3037499904</v>
      </c>
      <c r="V613" s="44"/>
      <c r="W613" s="29">
        <f t="shared" si="108"/>
        <v>1214662461610.6667</v>
      </c>
      <c r="X613" s="41">
        <f t="shared" si="103"/>
        <v>40.143692602590811</v>
      </c>
      <c r="Y613" s="33">
        <f t="shared" si="104"/>
        <v>1049.8177285102347</v>
      </c>
      <c r="Z613" s="33">
        <v>0.8</v>
      </c>
      <c r="AA613" s="29">
        <f t="shared" si="105"/>
        <v>839.85418280818783</v>
      </c>
      <c r="AB613" s="48">
        <f t="shared" si="106"/>
        <v>10669.691683649287</v>
      </c>
      <c r="AD613" s="47">
        <f t="shared" si="107"/>
        <v>0</v>
      </c>
    </row>
    <row r="614" spans="1:30" x14ac:dyDescent="0.2">
      <c r="A614" s="30" t="s">
        <v>8858</v>
      </c>
      <c r="B614" s="29">
        <v>7</v>
      </c>
      <c r="C614" s="29">
        <v>3</v>
      </c>
      <c r="D614" s="29">
        <v>450</v>
      </c>
      <c r="E614" s="29">
        <v>40000</v>
      </c>
      <c r="F614" s="29">
        <v>120000</v>
      </c>
      <c r="G614" s="29">
        <v>40000</v>
      </c>
      <c r="H614" s="29">
        <v>300000</v>
      </c>
      <c r="I614" s="29">
        <v>71500</v>
      </c>
      <c r="J614" s="29">
        <v>16199999488</v>
      </c>
      <c r="K614" s="29">
        <v>850</v>
      </c>
      <c r="L614" s="29">
        <v>1399</v>
      </c>
      <c r="N614" s="34"/>
      <c r="O614" s="29">
        <f t="shared" si="98"/>
        <v>1124.5</v>
      </c>
      <c r="P614" s="32" cm="1">
        <f t="array" ref="P614">WPNFACTOR(C614)</f>
        <v>2.5</v>
      </c>
      <c r="Q614" s="34" cm="1">
        <f t="array" ref="Q614">HPFACTOr(C614)</f>
        <v>4</v>
      </c>
      <c r="R614" s="33">
        <f t="shared" si="99"/>
        <v>449.8</v>
      </c>
      <c r="S614" s="34">
        <f t="shared" si="100"/>
        <v>4049999872</v>
      </c>
      <c r="T614" s="33">
        <f t="shared" si="101"/>
        <v>449.8</v>
      </c>
      <c r="U614" s="42">
        <f t="shared" si="102"/>
        <v>4049999872.0000005</v>
      </c>
      <c r="V614" s="44"/>
      <c r="W614" s="29">
        <f t="shared" si="108"/>
        <v>1821689942425.6003</v>
      </c>
      <c r="X614" s="41">
        <f t="shared" si="103"/>
        <v>40.728414567277689</v>
      </c>
      <c r="Y614" s="33">
        <f t="shared" si="104"/>
        <v>1161.7658737158126</v>
      </c>
      <c r="Z614" s="33">
        <v>0.8</v>
      </c>
      <c r="AA614" s="29">
        <f t="shared" si="105"/>
        <v>929.41269897265011</v>
      </c>
      <c r="AB614" s="48">
        <f t="shared" si="106"/>
        <v>12213.069266111399</v>
      </c>
      <c r="AD614" s="47">
        <f t="shared" si="107"/>
        <v>0</v>
      </c>
    </row>
    <row r="615" spans="1:30" x14ac:dyDescent="0.2">
      <c r="A615" s="30" t="s">
        <v>8858</v>
      </c>
      <c r="B615" s="29">
        <v>8</v>
      </c>
      <c r="C615" s="29">
        <v>2</v>
      </c>
      <c r="D615" s="29">
        <v>500</v>
      </c>
      <c r="E615" s="29">
        <v>50000</v>
      </c>
      <c r="F615" s="29">
        <v>50000</v>
      </c>
      <c r="G615" s="29">
        <v>150000</v>
      </c>
      <c r="H615" s="29">
        <v>320000</v>
      </c>
      <c r="I615" s="29">
        <v>93500</v>
      </c>
      <c r="J615" s="29">
        <v>16199999488</v>
      </c>
      <c r="K615" s="29">
        <v>1700</v>
      </c>
      <c r="L615" s="29">
        <v>2799</v>
      </c>
      <c r="N615" s="34"/>
      <c r="O615" s="29">
        <f t="shared" si="98"/>
        <v>2249.5</v>
      </c>
      <c r="P615" s="32" cm="1">
        <f t="array" ref="P615">WPNFACTOR(C615)</f>
        <v>4.5</v>
      </c>
      <c r="Q615" s="34" cm="1">
        <f t="array" ref="Q615">HPFACTOr(C615)</f>
        <v>2</v>
      </c>
      <c r="R615" s="33">
        <f t="shared" si="99"/>
        <v>499.88888888888891</v>
      </c>
      <c r="S615" s="34">
        <f t="shared" si="100"/>
        <v>8099999744</v>
      </c>
      <c r="T615" s="33">
        <f t="shared" si="101"/>
        <v>499.88888888888891</v>
      </c>
      <c r="U615" s="42">
        <f t="shared" si="102"/>
        <v>8099999744.000001</v>
      </c>
      <c r="V615" s="44"/>
      <c r="W615" s="29">
        <f t="shared" si="108"/>
        <v>4049099872028.4453</v>
      </c>
      <c r="X615" s="41">
        <f t="shared" si="103"/>
        <v>41.880738366523971</v>
      </c>
      <c r="Y615" s="33">
        <f t="shared" si="104"/>
        <v>1418.5335839273457</v>
      </c>
      <c r="Z615" s="33">
        <v>0.8</v>
      </c>
      <c r="AA615" s="29">
        <f t="shared" si="105"/>
        <v>1134.8268671418766</v>
      </c>
      <c r="AB615" s="48">
        <f t="shared" si="106"/>
        <v>15938.697550609375</v>
      </c>
      <c r="AD615" s="47">
        <f t="shared" si="107"/>
        <v>0</v>
      </c>
    </row>
    <row r="616" spans="1:30" x14ac:dyDescent="0.2">
      <c r="A616" s="30" t="s">
        <v>8858</v>
      </c>
      <c r="B616" s="29">
        <v>9</v>
      </c>
      <c r="C616" s="29">
        <v>1</v>
      </c>
      <c r="D616" s="29">
        <v>550</v>
      </c>
      <c r="E616" s="29">
        <v>200000</v>
      </c>
      <c r="F616" s="29">
        <v>75000</v>
      </c>
      <c r="G616" s="29">
        <v>75000</v>
      </c>
      <c r="H616" s="29">
        <v>330000</v>
      </c>
      <c r="I616" s="29">
        <v>100000</v>
      </c>
      <c r="J616" s="29">
        <v>18225000448</v>
      </c>
      <c r="K616" s="29">
        <v>850</v>
      </c>
      <c r="L616" s="29">
        <v>1399</v>
      </c>
      <c r="N616" s="34"/>
      <c r="O616" s="29">
        <f t="shared" ref="O616:O679" si="109">AVERAGE(K616, L616)</f>
        <v>1124.5</v>
      </c>
      <c r="P616" s="32" cm="1">
        <f t="array" ref="P616">WPNFACTOR(C616)</f>
        <v>2</v>
      </c>
      <c r="Q616" s="34" cm="1">
        <f t="array" ref="Q616">HPFACTOr(C616)</f>
        <v>5</v>
      </c>
      <c r="R616" s="33">
        <f t="shared" ref="R616:R679" si="110">O616/P616</f>
        <v>562.25</v>
      </c>
      <c r="S616" s="34">
        <f t="shared" ref="S616:S679" si="111">J616/Q616</f>
        <v>3645000089.5999999</v>
      </c>
      <c r="T616" s="33">
        <f t="shared" ref="T616:T679" si="112">R616*(1 + (N616/400))</f>
        <v>562.25</v>
      </c>
      <c r="U616" s="42">
        <f t="shared" ref="U616:U679" si="113">S616*1.6/(1 + (0.6*(1 - (M616/100))))</f>
        <v>3645000089.6000004</v>
      </c>
      <c r="V616" s="44"/>
      <c r="W616" s="29">
        <f t="shared" si="108"/>
        <v>2049401300377.6001</v>
      </c>
      <c r="X616" s="41">
        <f t="shared" ref="X616:X679" si="114">LOG(W616, 2)</f>
        <v>40.89833964978007</v>
      </c>
      <c r="Y616" s="33">
        <f t="shared" si="104"/>
        <v>1196.4836046027619</v>
      </c>
      <c r="Z616" s="33">
        <v>0.8</v>
      </c>
      <c r="AA616" s="29">
        <f t="shared" si="105"/>
        <v>957.18688368220955</v>
      </c>
      <c r="AB616" s="48">
        <f t="shared" si="106"/>
        <v>12702.104143021197</v>
      </c>
      <c r="AD616" s="47">
        <f t="shared" si="107"/>
        <v>0</v>
      </c>
    </row>
    <row r="617" spans="1:30" x14ac:dyDescent="0.2">
      <c r="A617" s="30" t="s">
        <v>8858</v>
      </c>
      <c r="B617" s="29">
        <v>10</v>
      </c>
      <c r="C617" s="29">
        <v>2</v>
      </c>
      <c r="D617" s="29">
        <v>600</v>
      </c>
      <c r="E617" s="29">
        <v>100000</v>
      </c>
      <c r="F617" s="29">
        <v>100000</v>
      </c>
      <c r="G617" s="29">
        <v>250000</v>
      </c>
      <c r="H617" s="29">
        <v>430000</v>
      </c>
      <c r="I617" s="29">
        <v>137000</v>
      </c>
      <c r="J617" s="29">
        <v>12149999616</v>
      </c>
      <c r="K617" s="29">
        <v>2050</v>
      </c>
      <c r="L617" s="29">
        <v>3398</v>
      </c>
      <c r="N617" s="34"/>
      <c r="O617" s="29">
        <f t="shared" si="109"/>
        <v>2724</v>
      </c>
      <c r="P617" s="32" cm="1">
        <f t="array" ref="P617">WPNFACTOR(C617)</f>
        <v>4.5</v>
      </c>
      <c r="Q617" s="34" cm="1">
        <f t="array" ref="Q617">HPFACTOr(C617)</f>
        <v>2</v>
      </c>
      <c r="R617" s="33">
        <f t="shared" si="110"/>
        <v>605.33333333333337</v>
      </c>
      <c r="S617" s="34">
        <f t="shared" si="111"/>
        <v>6074999808</v>
      </c>
      <c r="T617" s="33">
        <f t="shared" si="112"/>
        <v>605.33333333333337</v>
      </c>
      <c r="U617" s="42">
        <f t="shared" si="113"/>
        <v>6074999808</v>
      </c>
      <c r="V617" s="44"/>
      <c r="W617" s="29">
        <f t="shared" si="108"/>
        <v>3677399883776</v>
      </c>
      <c r="X617" s="41">
        <f t="shared" si="114"/>
        <v>41.741823203678152</v>
      </c>
      <c r="Y617" s="33">
        <f t="shared" ref="Y617:Y680" si="115">POWER(W617, 1/4)</f>
        <v>1384.7941317885288</v>
      </c>
      <c r="Z617" s="33">
        <v>0.8</v>
      </c>
      <c r="AA617" s="29">
        <f t="shared" ref="AA617:AA680" si="116">Y617*Z617</f>
        <v>1107.8353054308232</v>
      </c>
      <c r="AB617" s="48">
        <f t="shared" ref="AB617:AB680" si="117">POWER(W617, 1/$AB$1)</f>
        <v>15435.248270125454</v>
      </c>
      <c r="AD617" s="47">
        <f t="shared" ref="AD617:AD680" si="118">IF(AC617 = "", ,AC617/AB617)</f>
        <v>0</v>
      </c>
    </row>
    <row r="618" spans="1:30" x14ac:dyDescent="0.2">
      <c r="A618" s="30" t="s">
        <v>8859</v>
      </c>
      <c r="B618" s="29">
        <v>1</v>
      </c>
      <c r="C618" s="29">
        <v>3</v>
      </c>
      <c r="D618" s="29">
        <v>320</v>
      </c>
      <c r="E618" s="29">
        <v>9700</v>
      </c>
      <c r="F618" s="29">
        <v>19400</v>
      </c>
      <c r="G618" s="29">
        <v>9700</v>
      </c>
      <c r="H618" s="29">
        <v>65500</v>
      </c>
      <c r="I618" s="29">
        <v>9700</v>
      </c>
      <c r="J618" s="29">
        <v>181000000</v>
      </c>
      <c r="K618" s="29">
        <v>981</v>
      </c>
      <c r="L618" s="29">
        <v>1226</v>
      </c>
      <c r="M618" s="29">
        <v>50</v>
      </c>
      <c r="N618" s="34">
        <v>50</v>
      </c>
      <c r="O618" s="29">
        <f t="shared" si="109"/>
        <v>1103.5</v>
      </c>
      <c r="P618" s="32" cm="1">
        <f t="array" ref="P618">WPNFACTOR(C618)</f>
        <v>2.5</v>
      </c>
      <c r="Q618" s="34" cm="1">
        <f t="array" ref="Q618">HPFACTOr(C618)</f>
        <v>4</v>
      </c>
      <c r="R618" s="33">
        <f t="shared" si="110"/>
        <v>441.4</v>
      </c>
      <c r="S618" s="34">
        <f t="shared" si="111"/>
        <v>45250000</v>
      </c>
      <c r="T618" s="33">
        <f t="shared" si="112"/>
        <v>496.57499999999999</v>
      </c>
      <c r="U618" s="42">
        <f t="shared" si="113"/>
        <v>55692307.692307688</v>
      </c>
      <c r="V618" s="44"/>
      <c r="W618" s="29">
        <f t="shared" si="108"/>
        <v>27655407692.30769</v>
      </c>
      <c r="X618" s="41">
        <f t="shared" si="114"/>
        <v>34.686842559100853</v>
      </c>
      <c r="Y618" s="33">
        <f t="shared" si="115"/>
        <v>407.79792938098416</v>
      </c>
      <c r="Z618" s="33">
        <v>0.8</v>
      </c>
      <c r="AA618" s="29">
        <f t="shared" si="116"/>
        <v>326.23834350478734</v>
      </c>
      <c r="AB618" s="48">
        <f t="shared" si="117"/>
        <v>3024.0805508257613</v>
      </c>
      <c r="AD618" s="47">
        <f t="shared" si="118"/>
        <v>0</v>
      </c>
    </row>
    <row r="619" spans="1:30" x14ac:dyDescent="0.2">
      <c r="A619" s="30" t="s">
        <v>8859</v>
      </c>
      <c r="B619" s="29">
        <v>2</v>
      </c>
      <c r="C619" s="29">
        <v>1</v>
      </c>
      <c r="D619" s="29">
        <v>323</v>
      </c>
      <c r="E619" s="29">
        <v>19760</v>
      </c>
      <c r="F619" s="29">
        <v>9880</v>
      </c>
      <c r="G619" s="29">
        <v>9880</v>
      </c>
      <c r="H619" s="29">
        <v>67000</v>
      </c>
      <c r="I619" s="29">
        <v>9880</v>
      </c>
      <c r="J619" s="29">
        <v>185500000</v>
      </c>
      <c r="K619" s="29">
        <v>994</v>
      </c>
      <c r="L619" s="29">
        <v>1242</v>
      </c>
      <c r="M619" s="29">
        <v>50</v>
      </c>
      <c r="N619" s="34">
        <v>50</v>
      </c>
      <c r="O619" s="29">
        <f t="shared" si="109"/>
        <v>1118</v>
      </c>
      <c r="P619" s="32" cm="1">
        <f t="array" ref="P619">WPNFACTOR(C619)</f>
        <v>2</v>
      </c>
      <c r="Q619" s="34" cm="1">
        <f t="array" ref="Q619">HPFACTOr(C619)</f>
        <v>5</v>
      </c>
      <c r="R619" s="33">
        <f t="shared" si="110"/>
        <v>559</v>
      </c>
      <c r="S619" s="34">
        <f t="shared" si="111"/>
        <v>37100000</v>
      </c>
      <c r="T619" s="33">
        <f t="shared" si="112"/>
        <v>628.875</v>
      </c>
      <c r="U619" s="42">
        <f t="shared" si="113"/>
        <v>45661538.461538456</v>
      </c>
      <c r="V619" s="44"/>
      <c r="W619" s="29">
        <f t="shared" si="108"/>
        <v>28715399999.999996</v>
      </c>
      <c r="X619" s="41">
        <f t="shared" si="114"/>
        <v>34.741105607202023</v>
      </c>
      <c r="Y619" s="33">
        <f t="shared" si="115"/>
        <v>411.65056665613236</v>
      </c>
      <c r="Z619" s="33">
        <v>0.8</v>
      </c>
      <c r="AA619" s="29">
        <f t="shared" si="116"/>
        <v>329.32045332490588</v>
      </c>
      <c r="AB619" s="48">
        <f t="shared" si="117"/>
        <v>3062.2334073086604</v>
      </c>
      <c r="AD619" s="47">
        <f t="shared" si="118"/>
        <v>0</v>
      </c>
    </row>
    <row r="620" spans="1:30" x14ac:dyDescent="0.2">
      <c r="A620" s="30" t="s">
        <v>8859</v>
      </c>
      <c r="B620" s="29">
        <v>3</v>
      </c>
      <c r="C620" s="29">
        <v>2</v>
      </c>
      <c r="D620" s="29">
        <v>326</v>
      </c>
      <c r="E620" s="29">
        <v>10060</v>
      </c>
      <c r="F620" s="29">
        <v>10060</v>
      </c>
      <c r="G620" s="29">
        <v>20120</v>
      </c>
      <c r="H620" s="29">
        <v>68500</v>
      </c>
      <c r="I620" s="29">
        <v>10060</v>
      </c>
      <c r="J620" s="29">
        <v>190000000</v>
      </c>
      <c r="K620" s="29">
        <v>1005</v>
      </c>
      <c r="L620" s="29">
        <v>1252</v>
      </c>
      <c r="M620" s="29">
        <v>50</v>
      </c>
      <c r="N620" s="34">
        <v>50</v>
      </c>
      <c r="O620" s="29">
        <f t="shared" si="109"/>
        <v>1128.5</v>
      </c>
      <c r="P620" s="32" cm="1">
        <f t="array" ref="P620">WPNFACTOR(C620)</f>
        <v>4.5</v>
      </c>
      <c r="Q620" s="34" cm="1">
        <f t="array" ref="Q620">HPFACTOr(C620)</f>
        <v>2</v>
      </c>
      <c r="R620" s="33">
        <f t="shared" si="110"/>
        <v>250.77777777777777</v>
      </c>
      <c r="S620" s="34">
        <f t="shared" si="111"/>
        <v>95000000</v>
      </c>
      <c r="T620" s="33">
        <f t="shared" si="112"/>
        <v>282.125</v>
      </c>
      <c r="U620" s="42">
        <f t="shared" si="113"/>
        <v>116923076.92307691</v>
      </c>
      <c r="V620" s="44"/>
      <c r="W620" s="29">
        <f t="shared" si="108"/>
        <v>32986923076.923073</v>
      </c>
      <c r="X620" s="41">
        <f t="shared" si="114"/>
        <v>34.941175162705868</v>
      </c>
      <c r="Y620" s="33">
        <f t="shared" si="115"/>
        <v>426.17252918651445</v>
      </c>
      <c r="Z620" s="33">
        <v>0.8</v>
      </c>
      <c r="AA620" s="29">
        <f t="shared" si="116"/>
        <v>340.93802334921156</v>
      </c>
      <c r="AB620" s="48">
        <f t="shared" si="117"/>
        <v>3207.1105903857424</v>
      </c>
      <c r="AD620" s="47">
        <f t="shared" si="118"/>
        <v>0</v>
      </c>
    </row>
    <row r="621" spans="1:30" x14ac:dyDescent="0.2">
      <c r="A621" s="30" t="s">
        <v>8859</v>
      </c>
      <c r="B621" s="29">
        <v>4</v>
      </c>
      <c r="C621" s="29">
        <v>3</v>
      </c>
      <c r="D621" s="29">
        <v>329</v>
      </c>
      <c r="E621" s="29">
        <v>10240</v>
      </c>
      <c r="F621" s="29">
        <v>20480</v>
      </c>
      <c r="G621" s="29">
        <v>10240</v>
      </c>
      <c r="H621" s="29">
        <v>70000</v>
      </c>
      <c r="I621" s="29">
        <v>10240</v>
      </c>
      <c r="J621" s="29">
        <v>194500000</v>
      </c>
      <c r="K621" s="29">
        <v>1019</v>
      </c>
      <c r="L621" s="29">
        <v>1265</v>
      </c>
      <c r="M621" s="29">
        <v>50</v>
      </c>
      <c r="N621" s="34">
        <v>50</v>
      </c>
      <c r="O621" s="29">
        <f t="shared" si="109"/>
        <v>1142</v>
      </c>
      <c r="P621" s="32" cm="1">
        <f t="array" ref="P621">WPNFACTOR(C621)</f>
        <v>2.5</v>
      </c>
      <c r="Q621" s="34" cm="1">
        <f t="array" ref="Q621">HPFACTOr(C621)</f>
        <v>4</v>
      </c>
      <c r="R621" s="33">
        <f t="shared" si="110"/>
        <v>456.8</v>
      </c>
      <c r="S621" s="34">
        <f t="shared" si="111"/>
        <v>48625000</v>
      </c>
      <c r="T621" s="33">
        <f t="shared" si="112"/>
        <v>513.9</v>
      </c>
      <c r="U621" s="42">
        <f t="shared" si="113"/>
        <v>59846153.84615384</v>
      </c>
      <c r="V621" s="44"/>
      <c r="W621" s="29">
        <f t="shared" si="108"/>
        <v>30754938461.538456</v>
      </c>
      <c r="X621" s="41">
        <f t="shared" si="114"/>
        <v>34.840099038087068</v>
      </c>
      <c r="Y621" s="33">
        <f t="shared" si="115"/>
        <v>418.7730408997856</v>
      </c>
      <c r="Z621" s="33">
        <v>0.8</v>
      </c>
      <c r="AA621" s="29">
        <f t="shared" si="116"/>
        <v>335.01843271982852</v>
      </c>
      <c r="AB621" s="48">
        <f t="shared" si="117"/>
        <v>3133.0809847342121</v>
      </c>
      <c r="AD621" s="47">
        <f t="shared" si="118"/>
        <v>0</v>
      </c>
    </row>
    <row r="622" spans="1:30" x14ac:dyDescent="0.2">
      <c r="A622" s="30" t="s">
        <v>8859</v>
      </c>
      <c r="B622" s="29">
        <v>5</v>
      </c>
      <c r="C622" s="29">
        <v>3</v>
      </c>
      <c r="D622" s="29">
        <v>332</v>
      </c>
      <c r="E622" s="29">
        <v>10420</v>
      </c>
      <c r="F622" s="29">
        <v>20840</v>
      </c>
      <c r="G622" s="29">
        <v>10420</v>
      </c>
      <c r="H622" s="29">
        <v>71500</v>
      </c>
      <c r="I622" s="29">
        <v>10420</v>
      </c>
      <c r="J622" s="29">
        <v>199000000</v>
      </c>
      <c r="K622" s="29">
        <v>1031</v>
      </c>
      <c r="L622" s="29">
        <v>1277</v>
      </c>
      <c r="M622" s="29">
        <v>50</v>
      </c>
      <c r="N622" s="34">
        <v>50</v>
      </c>
      <c r="O622" s="29">
        <f t="shared" si="109"/>
        <v>1154</v>
      </c>
      <c r="P622" s="32" cm="1">
        <f t="array" ref="P622">WPNFACTOR(C622)</f>
        <v>2.5</v>
      </c>
      <c r="Q622" s="34" cm="1">
        <f t="array" ref="Q622">HPFACTOr(C622)</f>
        <v>4</v>
      </c>
      <c r="R622" s="33">
        <f t="shared" si="110"/>
        <v>461.6</v>
      </c>
      <c r="S622" s="34">
        <f t="shared" si="111"/>
        <v>49750000</v>
      </c>
      <c r="T622" s="33">
        <f t="shared" si="112"/>
        <v>519.30000000000007</v>
      </c>
      <c r="U622" s="42">
        <f t="shared" si="113"/>
        <v>61230769.230769232</v>
      </c>
      <c r="V622" s="44"/>
      <c r="W622" s="29">
        <f t="shared" si="108"/>
        <v>31797138461.538467</v>
      </c>
      <c r="X622" s="41">
        <f t="shared" si="114"/>
        <v>34.888177886927167</v>
      </c>
      <c r="Y622" s="33">
        <f t="shared" si="115"/>
        <v>422.27659355608398</v>
      </c>
      <c r="Z622" s="33">
        <v>0.8</v>
      </c>
      <c r="AA622" s="29">
        <f t="shared" si="116"/>
        <v>337.82127484486722</v>
      </c>
      <c r="AB622" s="48">
        <f t="shared" si="117"/>
        <v>3168.0790725713323</v>
      </c>
      <c r="AD622" s="47">
        <f t="shared" si="118"/>
        <v>0</v>
      </c>
    </row>
    <row r="623" spans="1:30" x14ac:dyDescent="0.2">
      <c r="A623" s="30" t="s">
        <v>8859</v>
      </c>
      <c r="B623" s="29">
        <v>6</v>
      </c>
      <c r="C623" s="29">
        <v>3</v>
      </c>
      <c r="D623" s="29">
        <v>335</v>
      </c>
      <c r="E623" s="29">
        <v>10600</v>
      </c>
      <c r="F623" s="29">
        <v>21200</v>
      </c>
      <c r="G623" s="29">
        <v>10600</v>
      </c>
      <c r="H623" s="29">
        <v>73000</v>
      </c>
      <c r="I623" s="29">
        <v>10600</v>
      </c>
      <c r="J623" s="29">
        <v>203500000</v>
      </c>
      <c r="K623" s="29">
        <v>1045</v>
      </c>
      <c r="L623" s="29">
        <v>1284</v>
      </c>
      <c r="M623" s="29">
        <v>50</v>
      </c>
      <c r="N623" s="34">
        <v>50</v>
      </c>
      <c r="O623" s="29">
        <f t="shared" si="109"/>
        <v>1164.5</v>
      </c>
      <c r="P623" s="32" cm="1">
        <f t="array" ref="P623">WPNFACTOR(C623)</f>
        <v>2.5</v>
      </c>
      <c r="Q623" s="34" cm="1">
        <f t="array" ref="Q623">HPFACTOr(C623)</f>
        <v>4</v>
      </c>
      <c r="R623" s="33">
        <f t="shared" si="110"/>
        <v>465.8</v>
      </c>
      <c r="S623" s="34">
        <f t="shared" si="111"/>
        <v>50875000</v>
      </c>
      <c r="T623" s="33">
        <f t="shared" si="112"/>
        <v>524.02499999999998</v>
      </c>
      <c r="U623" s="42">
        <f t="shared" si="113"/>
        <v>62615384.615384616</v>
      </c>
      <c r="V623" s="44"/>
      <c r="W623" s="29">
        <f t="shared" si="108"/>
        <v>32812026923.076923</v>
      </c>
      <c r="X623" s="41">
        <f t="shared" si="114"/>
        <v>34.933505666215147</v>
      </c>
      <c r="Y623" s="33">
        <f t="shared" si="115"/>
        <v>425.60651252805707</v>
      </c>
      <c r="Z623" s="33">
        <v>0.8</v>
      </c>
      <c r="AA623" s="29">
        <f t="shared" si="116"/>
        <v>340.4852100224457</v>
      </c>
      <c r="AB623" s="48">
        <f t="shared" si="117"/>
        <v>3201.43252668175</v>
      </c>
      <c r="AD623" s="47">
        <f t="shared" si="118"/>
        <v>0</v>
      </c>
    </row>
    <row r="624" spans="1:30" x14ac:dyDescent="0.2">
      <c r="A624" s="30" t="s">
        <v>8859</v>
      </c>
      <c r="B624" s="29">
        <v>7</v>
      </c>
      <c r="C624" s="29">
        <v>1</v>
      </c>
      <c r="D624" s="29">
        <v>338</v>
      </c>
      <c r="E624" s="29">
        <v>21560</v>
      </c>
      <c r="F624" s="29">
        <v>10780</v>
      </c>
      <c r="G624" s="29">
        <v>10780</v>
      </c>
      <c r="H624" s="29">
        <v>74500</v>
      </c>
      <c r="I624" s="29">
        <v>10780</v>
      </c>
      <c r="J624" s="29">
        <v>208000000</v>
      </c>
      <c r="K624" s="29">
        <v>1053</v>
      </c>
      <c r="L624" s="29">
        <v>1301</v>
      </c>
      <c r="M624" s="29">
        <v>50</v>
      </c>
      <c r="N624" s="34">
        <v>50</v>
      </c>
      <c r="O624" s="29">
        <f t="shared" si="109"/>
        <v>1177</v>
      </c>
      <c r="P624" s="32" cm="1">
        <f t="array" ref="P624">WPNFACTOR(C624)</f>
        <v>2</v>
      </c>
      <c r="Q624" s="34" cm="1">
        <f t="array" ref="Q624">HPFACTOr(C624)</f>
        <v>5</v>
      </c>
      <c r="R624" s="33">
        <f t="shared" si="110"/>
        <v>588.5</v>
      </c>
      <c r="S624" s="34">
        <f t="shared" si="111"/>
        <v>41600000</v>
      </c>
      <c r="T624" s="33">
        <f t="shared" si="112"/>
        <v>662.0625</v>
      </c>
      <c r="U624" s="42">
        <f t="shared" si="113"/>
        <v>51200000</v>
      </c>
      <c r="V624" s="44"/>
      <c r="W624" s="29">
        <f t="shared" si="108"/>
        <v>33897600000</v>
      </c>
      <c r="X624" s="41">
        <f t="shared" si="114"/>
        <v>34.980464080917564</v>
      </c>
      <c r="Y624" s="33">
        <f t="shared" si="115"/>
        <v>429.08391810286042</v>
      </c>
      <c r="Z624" s="33">
        <v>0.8</v>
      </c>
      <c r="AA624" s="29">
        <f t="shared" si="116"/>
        <v>343.26713448228838</v>
      </c>
      <c r="AB624" s="48">
        <f t="shared" si="117"/>
        <v>3236.3562145717392</v>
      </c>
      <c r="AD624" s="47">
        <f t="shared" si="118"/>
        <v>0</v>
      </c>
    </row>
    <row r="625" spans="1:30" x14ac:dyDescent="0.2">
      <c r="A625" s="30" t="s">
        <v>8859</v>
      </c>
      <c r="B625" s="29">
        <v>8</v>
      </c>
      <c r="C625" s="29">
        <v>1</v>
      </c>
      <c r="D625" s="29">
        <v>341</v>
      </c>
      <c r="E625" s="29">
        <v>21920</v>
      </c>
      <c r="F625" s="29">
        <v>10960</v>
      </c>
      <c r="G625" s="29">
        <v>10960</v>
      </c>
      <c r="H625" s="29">
        <v>76000</v>
      </c>
      <c r="I625" s="29">
        <v>10960</v>
      </c>
      <c r="J625" s="29">
        <v>212500000</v>
      </c>
      <c r="K625" s="29">
        <v>1064</v>
      </c>
      <c r="L625" s="29">
        <v>1308</v>
      </c>
      <c r="M625" s="29">
        <v>50</v>
      </c>
      <c r="N625" s="34">
        <v>50</v>
      </c>
      <c r="O625" s="29">
        <f t="shared" si="109"/>
        <v>1186</v>
      </c>
      <c r="P625" s="32" cm="1">
        <f t="array" ref="P625">WPNFACTOR(C625)</f>
        <v>2</v>
      </c>
      <c r="Q625" s="34" cm="1">
        <f t="array" ref="Q625">HPFACTOr(C625)</f>
        <v>5</v>
      </c>
      <c r="R625" s="33">
        <f t="shared" si="110"/>
        <v>593</v>
      </c>
      <c r="S625" s="34">
        <f t="shared" si="111"/>
        <v>42500000</v>
      </c>
      <c r="T625" s="33">
        <f t="shared" si="112"/>
        <v>667.125</v>
      </c>
      <c r="U625" s="42">
        <f t="shared" si="113"/>
        <v>52307692.307692304</v>
      </c>
      <c r="V625" s="44"/>
      <c r="W625" s="29">
        <f t="shared" si="108"/>
        <v>34895769230.769226</v>
      </c>
      <c r="X625" s="41">
        <f t="shared" si="114"/>
        <v>35.0223330833091</v>
      </c>
      <c r="Y625" s="33">
        <f t="shared" si="115"/>
        <v>432.20839092417589</v>
      </c>
      <c r="Z625" s="33">
        <v>0.8</v>
      </c>
      <c r="AA625" s="29">
        <f t="shared" si="116"/>
        <v>345.76671273934073</v>
      </c>
      <c r="AB625" s="48">
        <f t="shared" si="117"/>
        <v>3267.8159790765485</v>
      </c>
      <c r="AD625" s="47">
        <f t="shared" si="118"/>
        <v>0</v>
      </c>
    </row>
    <row r="626" spans="1:30" x14ac:dyDescent="0.2">
      <c r="A626" s="30" t="s">
        <v>8859</v>
      </c>
      <c r="B626" s="29">
        <v>9</v>
      </c>
      <c r="C626" s="29">
        <v>3</v>
      </c>
      <c r="D626" s="29">
        <v>344</v>
      </c>
      <c r="E626" s="29">
        <v>11140</v>
      </c>
      <c r="F626" s="29">
        <v>22280</v>
      </c>
      <c r="G626" s="29">
        <v>11140</v>
      </c>
      <c r="H626" s="29">
        <v>77500</v>
      </c>
      <c r="I626" s="29">
        <v>11140</v>
      </c>
      <c r="J626" s="29">
        <v>217000000</v>
      </c>
      <c r="K626" s="29">
        <v>1084</v>
      </c>
      <c r="L626" s="29">
        <v>1324</v>
      </c>
      <c r="M626" s="29">
        <v>50</v>
      </c>
      <c r="N626" s="34">
        <v>50</v>
      </c>
      <c r="O626" s="29">
        <f t="shared" si="109"/>
        <v>1204</v>
      </c>
      <c r="P626" s="32" cm="1">
        <f t="array" ref="P626">WPNFACTOR(C626)</f>
        <v>2.5</v>
      </c>
      <c r="Q626" s="34" cm="1">
        <f t="array" ref="Q626">HPFACTOr(C626)</f>
        <v>4</v>
      </c>
      <c r="R626" s="33">
        <f t="shared" si="110"/>
        <v>481.6</v>
      </c>
      <c r="S626" s="34">
        <f t="shared" si="111"/>
        <v>54250000</v>
      </c>
      <c r="T626" s="33">
        <f t="shared" si="112"/>
        <v>541.80000000000007</v>
      </c>
      <c r="U626" s="42">
        <f t="shared" si="113"/>
        <v>66769230.769230768</v>
      </c>
      <c r="V626" s="44"/>
      <c r="W626" s="29">
        <f t="shared" si="108"/>
        <v>36175569230.769234</v>
      </c>
      <c r="X626" s="41">
        <f t="shared" si="114"/>
        <v>35.07429666694221</v>
      </c>
      <c r="Y626" s="33">
        <f t="shared" si="115"/>
        <v>436.11783090384591</v>
      </c>
      <c r="Z626" s="33">
        <v>0.8</v>
      </c>
      <c r="AA626" s="29">
        <f t="shared" si="116"/>
        <v>348.89426472307673</v>
      </c>
      <c r="AB626" s="48">
        <f t="shared" si="117"/>
        <v>3307.2862948278271</v>
      </c>
      <c r="AD626" s="47">
        <f t="shared" si="118"/>
        <v>0</v>
      </c>
    </row>
    <row r="627" spans="1:30" x14ac:dyDescent="0.2">
      <c r="A627" s="30" t="s">
        <v>8859</v>
      </c>
      <c r="B627" s="29">
        <v>10</v>
      </c>
      <c r="C627" s="29">
        <v>2</v>
      </c>
      <c r="D627" s="29">
        <v>350</v>
      </c>
      <c r="E627" s="29">
        <v>11500</v>
      </c>
      <c r="F627" s="29">
        <v>11500</v>
      </c>
      <c r="G627" s="29">
        <v>23000</v>
      </c>
      <c r="H627" s="29">
        <v>80500</v>
      </c>
      <c r="I627" s="29">
        <v>11500</v>
      </c>
      <c r="J627" s="29">
        <v>226000000</v>
      </c>
      <c r="K627" s="29">
        <v>1100</v>
      </c>
      <c r="L627" s="29">
        <v>1350</v>
      </c>
      <c r="M627" s="29">
        <v>50</v>
      </c>
      <c r="N627" s="34">
        <v>50</v>
      </c>
      <c r="O627" s="29">
        <f t="shared" si="109"/>
        <v>1225</v>
      </c>
      <c r="P627" s="32" cm="1">
        <f t="array" ref="P627">WPNFACTOR(C627)</f>
        <v>4.5</v>
      </c>
      <c r="Q627" s="34" cm="1">
        <f t="array" ref="Q627">HPFACTOr(C627)</f>
        <v>2</v>
      </c>
      <c r="R627" s="33">
        <f t="shared" si="110"/>
        <v>272.22222222222223</v>
      </c>
      <c r="S627" s="34">
        <f t="shared" si="111"/>
        <v>113000000</v>
      </c>
      <c r="T627" s="33">
        <f t="shared" si="112"/>
        <v>306.25</v>
      </c>
      <c r="U627" s="42">
        <f t="shared" si="113"/>
        <v>139076923.07692307</v>
      </c>
      <c r="V627" s="44"/>
      <c r="W627" s="29">
        <f t="shared" si="108"/>
        <v>42592307692.307693</v>
      </c>
      <c r="X627" s="41">
        <f t="shared" si="114"/>
        <v>35.309873847488205</v>
      </c>
      <c r="Y627" s="33">
        <f t="shared" si="115"/>
        <v>454.28959804064925</v>
      </c>
      <c r="Z627" s="33">
        <v>0.8</v>
      </c>
      <c r="AA627" s="29">
        <f t="shared" si="116"/>
        <v>363.43167843251945</v>
      </c>
      <c r="AB627" s="48">
        <f t="shared" si="117"/>
        <v>3492.2907239360425</v>
      </c>
      <c r="AD627" s="47">
        <f t="shared" si="118"/>
        <v>0</v>
      </c>
    </row>
    <row r="628" spans="1:30" x14ac:dyDescent="0.2">
      <c r="A628" s="30" t="s">
        <v>8860</v>
      </c>
      <c r="B628" s="29">
        <v>1</v>
      </c>
      <c r="C628" s="29">
        <v>2</v>
      </c>
      <c r="D628" s="29">
        <v>350</v>
      </c>
      <c r="E628" s="29">
        <v>11500</v>
      </c>
      <c r="F628" s="29">
        <v>11500</v>
      </c>
      <c r="G628" s="29">
        <v>23000</v>
      </c>
      <c r="H628" s="29">
        <v>80500</v>
      </c>
      <c r="I628" s="29">
        <v>11500</v>
      </c>
      <c r="J628" s="29">
        <v>226000000</v>
      </c>
      <c r="K628" s="29">
        <v>1102</v>
      </c>
      <c r="L628" s="29">
        <v>1349</v>
      </c>
      <c r="M628" s="29">
        <v>50</v>
      </c>
      <c r="N628" s="34">
        <v>50</v>
      </c>
      <c r="O628" s="29">
        <f t="shared" si="109"/>
        <v>1225.5</v>
      </c>
      <c r="P628" s="32" cm="1">
        <f t="array" ref="P628">WPNFACTOR(C628)</f>
        <v>4.5</v>
      </c>
      <c r="Q628" s="34" cm="1">
        <f t="array" ref="Q628">HPFACTOr(C628)</f>
        <v>2</v>
      </c>
      <c r="R628" s="33">
        <f t="shared" si="110"/>
        <v>272.33333333333331</v>
      </c>
      <c r="S628" s="34">
        <f t="shared" si="111"/>
        <v>113000000</v>
      </c>
      <c r="T628" s="33">
        <f t="shared" si="112"/>
        <v>306.375</v>
      </c>
      <c r="U628" s="42">
        <f t="shared" si="113"/>
        <v>139076923.07692307</v>
      </c>
      <c r="V628" s="44"/>
      <c r="W628" s="29">
        <f t="shared" si="108"/>
        <v>42609692307.692307</v>
      </c>
      <c r="X628" s="41">
        <f t="shared" si="114"/>
        <v>35.310462582465114</v>
      </c>
      <c r="Y628" s="33">
        <f t="shared" si="115"/>
        <v>454.33594702845249</v>
      </c>
      <c r="Z628" s="33">
        <v>0.8</v>
      </c>
      <c r="AA628" s="29">
        <f t="shared" si="116"/>
        <v>363.46875762276204</v>
      </c>
      <c r="AB628" s="48">
        <f t="shared" si="117"/>
        <v>3492.7658009006777</v>
      </c>
      <c r="AD628" s="47">
        <f t="shared" si="118"/>
        <v>0</v>
      </c>
    </row>
    <row r="629" spans="1:30" x14ac:dyDescent="0.2">
      <c r="A629" s="30" t="s">
        <v>8860</v>
      </c>
      <c r="B629" s="29">
        <v>2</v>
      </c>
      <c r="C629" s="29">
        <v>1</v>
      </c>
      <c r="D629" s="29">
        <v>354</v>
      </c>
      <c r="E629" s="29">
        <v>23480</v>
      </c>
      <c r="F629" s="29">
        <v>11740</v>
      </c>
      <c r="G629" s="29">
        <v>11740</v>
      </c>
      <c r="H629" s="29">
        <v>82500</v>
      </c>
      <c r="I629" s="29">
        <v>11740</v>
      </c>
      <c r="J629" s="29">
        <v>232000000</v>
      </c>
      <c r="K629" s="29">
        <v>1116</v>
      </c>
      <c r="L629" s="29">
        <v>1363</v>
      </c>
      <c r="M629" s="29">
        <v>50</v>
      </c>
      <c r="N629" s="34">
        <v>50</v>
      </c>
      <c r="O629" s="29">
        <f t="shared" si="109"/>
        <v>1239.5</v>
      </c>
      <c r="P629" s="32" cm="1">
        <f t="array" ref="P629">WPNFACTOR(C629)</f>
        <v>2</v>
      </c>
      <c r="Q629" s="34" cm="1">
        <f t="array" ref="Q629">HPFACTOr(C629)</f>
        <v>5</v>
      </c>
      <c r="R629" s="33">
        <f t="shared" si="110"/>
        <v>619.75</v>
      </c>
      <c r="S629" s="34">
        <f t="shared" si="111"/>
        <v>46400000</v>
      </c>
      <c r="T629" s="33">
        <f t="shared" si="112"/>
        <v>697.21875</v>
      </c>
      <c r="U629" s="42">
        <f t="shared" si="113"/>
        <v>57107692.307692304</v>
      </c>
      <c r="V629" s="44"/>
      <c r="W629" s="29">
        <f t="shared" si="108"/>
        <v>39816553846.153847</v>
      </c>
      <c r="X629" s="41">
        <f t="shared" si="114"/>
        <v>35.212649308952329</v>
      </c>
      <c r="Y629" s="33">
        <f t="shared" si="115"/>
        <v>446.69996371837084</v>
      </c>
      <c r="Z629" s="33">
        <v>0.8</v>
      </c>
      <c r="AA629" s="29">
        <f t="shared" si="116"/>
        <v>357.35997097469669</v>
      </c>
      <c r="AB629" s="48">
        <f t="shared" si="117"/>
        <v>3414.7157387301013</v>
      </c>
      <c r="AD629" s="47">
        <f t="shared" si="118"/>
        <v>0</v>
      </c>
    </row>
    <row r="630" spans="1:30" x14ac:dyDescent="0.2">
      <c r="A630" s="30" t="s">
        <v>8860</v>
      </c>
      <c r="B630" s="29">
        <v>3</v>
      </c>
      <c r="C630" s="29">
        <v>1</v>
      </c>
      <c r="D630" s="29">
        <v>358</v>
      </c>
      <c r="E630" s="29">
        <v>23960</v>
      </c>
      <c r="F630" s="29">
        <v>11980</v>
      </c>
      <c r="G630" s="29">
        <v>11980</v>
      </c>
      <c r="H630" s="29">
        <v>84500</v>
      </c>
      <c r="I630" s="29">
        <v>11980</v>
      </c>
      <c r="J630" s="29">
        <v>238000000</v>
      </c>
      <c r="K630" s="29">
        <v>1140</v>
      </c>
      <c r="L630" s="29">
        <v>1380</v>
      </c>
      <c r="M630" s="29">
        <v>50</v>
      </c>
      <c r="N630" s="34">
        <v>50</v>
      </c>
      <c r="O630" s="29">
        <f t="shared" si="109"/>
        <v>1260</v>
      </c>
      <c r="P630" s="32" cm="1">
        <f t="array" ref="P630">WPNFACTOR(C630)</f>
        <v>2</v>
      </c>
      <c r="Q630" s="34" cm="1">
        <f t="array" ref="Q630">HPFACTOr(C630)</f>
        <v>5</v>
      </c>
      <c r="R630" s="33">
        <f t="shared" si="110"/>
        <v>630</v>
      </c>
      <c r="S630" s="34">
        <f t="shared" si="111"/>
        <v>47600000</v>
      </c>
      <c r="T630" s="33">
        <f t="shared" si="112"/>
        <v>708.75</v>
      </c>
      <c r="U630" s="42">
        <f t="shared" si="113"/>
        <v>58584615.384615384</v>
      </c>
      <c r="V630" s="44"/>
      <c r="W630" s="29">
        <f t="shared" si="108"/>
        <v>41521846153.846153</v>
      </c>
      <c r="X630" s="41">
        <f t="shared" si="114"/>
        <v>35.273151539433258</v>
      </c>
      <c r="Y630" s="33">
        <f t="shared" si="115"/>
        <v>451.40790876521555</v>
      </c>
      <c r="Z630" s="33">
        <v>0.8</v>
      </c>
      <c r="AA630" s="29">
        <f t="shared" si="116"/>
        <v>361.12632701217245</v>
      </c>
      <c r="AB630" s="48">
        <f t="shared" si="117"/>
        <v>3462.7851919411282</v>
      </c>
      <c r="AD630" s="47">
        <f t="shared" si="118"/>
        <v>0</v>
      </c>
    </row>
    <row r="631" spans="1:30" x14ac:dyDescent="0.2">
      <c r="A631" s="30" t="s">
        <v>8860</v>
      </c>
      <c r="B631" s="29">
        <v>4</v>
      </c>
      <c r="C631" s="29">
        <v>1</v>
      </c>
      <c r="D631" s="29">
        <v>362</v>
      </c>
      <c r="E631" s="29">
        <v>24440</v>
      </c>
      <c r="F631" s="29">
        <v>12220</v>
      </c>
      <c r="G631" s="29">
        <v>12220</v>
      </c>
      <c r="H631" s="29">
        <v>86500</v>
      </c>
      <c r="I631" s="29">
        <v>12220</v>
      </c>
      <c r="J631" s="29">
        <v>244000000</v>
      </c>
      <c r="K631" s="29">
        <v>1151</v>
      </c>
      <c r="L631" s="29">
        <v>1397</v>
      </c>
      <c r="M631" s="29">
        <v>50</v>
      </c>
      <c r="N631" s="34">
        <v>50</v>
      </c>
      <c r="O631" s="29">
        <f t="shared" si="109"/>
        <v>1274</v>
      </c>
      <c r="P631" s="32" cm="1">
        <f t="array" ref="P631">WPNFACTOR(C631)</f>
        <v>2</v>
      </c>
      <c r="Q631" s="34" cm="1">
        <f t="array" ref="Q631">HPFACTOr(C631)</f>
        <v>5</v>
      </c>
      <c r="R631" s="33">
        <f t="shared" si="110"/>
        <v>637</v>
      </c>
      <c r="S631" s="34">
        <f t="shared" si="111"/>
        <v>48800000</v>
      </c>
      <c r="T631" s="33">
        <f t="shared" si="112"/>
        <v>716.625</v>
      </c>
      <c r="U631" s="42">
        <f t="shared" si="113"/>
        <v>60061538.461538456</v>
      </c>
      <c r="V631" s="44"/>
      <c r="W631" s="29">
        <f t="shared" si="108"/>
        <v>43041600000</v>
      </c>
      <c r="X631" s="41">
        <f t="shared" si="114"/>
        <v>35.325012657557224</v>
      </c>
      <c r="Y631" s="33">
        <f t="shared" si="115"/>
        <v>455.48292590594252</v>
      </c>
      <c r="Z631" s="33">
        <v>0.8</v>
      </c>
      <c r="AA631" s="29">
        <f t="shared" si="116"/>
        <v>364.38634072475406</v>
      </c>
      <c r="AB631" s="48">
        <f t="shared" si="117"/>
        <v>3504.5274742300753</v>
      </c>
      <c r="AD631" s="47">
        <f t="shared" si="118"/>
        <v>0</v>
      </c>
    </row>
    <row r="632" spans="1:30" x14ac:dyDescent="0.2">
      <c r="A632" s="30" t="s">
        <v>8860</v>
      </c>
      <c r="B632" s="29">
        <v>5</v>
      </c>
      <c r="C632" s="29">
        <v>3</v>
      </c>
      <c r="D632" s="29">
        <v>366</v>
      </c>
      <c r="E632" s="29">
        <v>12460</v>
      </c>
      <c r="F632" s="29">
        <v>24920</v>
      </c>
      <c r="G632" s="29">
        <v>12460</v>
      </c>
      <c r="H632" s="29">
        <v>88500</v>
      </c>
      <c r="I632" s="29">
        <v>12460</v>
      </c>
      <c r="J632" s="29">
        <v>250000000</v>
      </c>
      <c r="K632" s="29">
        <v>1167</v>
      </c>
      <c r="L632" s="29">
        <v>1404</v>
      </c>
      <c r="M632" s="29">
        <v>50</v>
      </c>
      <c r="N632" s="34">
        <v>50</v>
      </c>
      <c r="O632" s="29">
        <f t="shared" si="109"/>
        <v>1285.5</v>
      </c>
      <c r="P632" s="32" cm="1">
        <f t="array" ref="P632">WPNFACTOR(C632)</f>
        <v>2.5</v>
      </c>
      <c r="Q632" s="34" cm="1">
        <f t="array" ref="Q632">HPFACTOr(C632)</f>
        <v>4</v>
      </c>
      <c r="R632" s="33">
        <f t="shared" si="110"/>
        <v>514.20000000000005</v>
      </c>
      <c r="S632" s="34">
        <f t="shared" si="111"/>
        <v>62500000</v>
      </c>
      <c r="T632" s="33">
        <f t="shared" si="112"/>
        <v>578.47500000000002</v>
      </c>
      <c r="U632" s="42">
        <f t="shared" si="113"/>
        <v>76923076.923076928</v>
      </c>
      <c r="V632" s="44"/>
      <c r="W632" s="29">
        <f t="shared" si="108"/>
        <v>44498076923.076927</v>
      </c>
      <c r="X632" s="41">
        <f t="shared" si="114"/>
        <v>35.373023937233775</v>
      </c>
      <c r="Y632" s="33">
        <f t="shared" si="115"/>
        <v>459.2882242324427</v>
      </c>
      <c r="Z632" s="33">
        <v>0.8</v>
      </c>
      <c r="AA632" s="29">
        <f t="shared" si="116"/>
        <v>367.43057938595416</v>
      </c>
      <c r="AB632" s="48">
        <f t="shared" si="117"/>
        <v>3543.6194831909033</v>
      </c>
      <c r="AD632" s="47">
        <f t="shared" si="118"/>
        <v>0</v>
      </c>
    </row>
    <row r="633" spans="1:30" x14ac:dyDescent="0.2">
      <c r="A633" s="30" t="s">
        <v>8860</v>
      </c>
      <c r="B633" s="29">
        <v>6</v>
      </c>
      <c r="C633" s="29">
        <v>2</v>
      </c>
      <c r="D633" s="29">
        <v>370</v>
      </c>
      <c r="E633" s="29">
        <v>12700</v>
      </c>
      <c r="F633" s="29">
        <v>12700</v>
      </c>
      <c r="G633" s="29">
        <v>25400</v>
      </c>
      <c r="H633" s="29">
        <v>90500</v>
      </c>
      <c r="I633" s="29">
        <v>12700</v>
      </c>
      <c r="J633" s="29">
        <v>256000000</v>
      </c>
      <c r="K633" s="29">
        <v>1181</v>
      </c>
      <c r="L633" s="29">
        <v>1429</v>
      </c>
      <c r="M633" s="29">
        <v>50</v>
      </c>
      <c r="N633" s="34">
        <v>50</v>
      </c>
      <c r="O633" s="29">
        <f t="shared" si="109"/>
        <v>1305</v>
      </c>
      <c r="P633" s="32" cm="1">
        <f t="array" ref="P633">WPNFACTOR(C633)</f>
        <v>4.5</v>
      </c>
      <c r="Q633" s="34" cm="1">
        <f t="array" ref="Q633">HPFACTOr(C633)</f>
        <v>2</v>
      </c>
      <c r="R633" s="33">
        <f t="shared" si="110"/>
        <v>290</v>
      </c>
      <c r="S633" s="34">
        <f t="shared" si="111"/>
        <v>128000000</v>
      </c>
      <c r="T633" s="33">
        <f t="shared" si="112"/>
        <v>326.25</v>
      </c>
      <c r="U633" s="42">
        <f t="shared" si="113"/>
        <v>157538461.53846154</v>
      </c>
      <c r="V633" s="44"/>
      <c r="W633" s="29">
        <f t="shared" si="108"/>
        <v>51396923076.923073</v>
      </c>
      <c r="X633" s="41">
        <f t="shared" si="114"/>
        <v>35.580962942640333</v>
      </c>
      <c r="Y633" s="33">
        <f t="shared" si="115"/>
        <v>476.13957513589531</v>
      </c>
      <c r="Z633" s="33">
        <v>0.8</v>
      </c>
      <c r="AA633" s="29">
        <f t="shared" si="116"/>
        <v>380.91166010871626</v>
      </c>
      <c r="AB633" s="48">
        <f t="shared" si="117"/>
        <v>3718.0255804917324</v>
      </c>
      <c r="AD633" s="47">
        <f t="shared" si="118"/>
        <v>0</v>
      </c>
    </row>
    <row r="634" spans="1:30" x14ac:dyDescent="0.2">
      <c r="A634" s="30" t="s">
        <v>8860</v>
      </c>
      <c r="B634" s="29">
        <v>7</v>
      </c>
      <c r="C634" s="29">
        <v>3</v>
      </c>
      <c r="D634" s="29">
        <v>374</v>
      </c>
      <c r="E634" s="29">
        <v>12940</v>
      </c>
      <c r="F634" s="29">
        <v>25880</v>
      </c>
      <c r="G634" s="29">
        <v>12940</v>
      </c>
      <c r="H634" s="29">
        <v>92500</v>
      </c>
      <c r="I634" s="29">
        <v>12940</v>
      </c>
      <c r="J634" s="29">
        <v>262000000</v>
      </c>
      <c r="K634" s="29">
        <v>1199</v>
      </c>
      <c r="L634" s="29">
        <v>1441</v>
      </c>
      <c r="M634" s="29">
        <v>50</v>
      </c>
      <c r="N634" s="34">
        <v>50</v>
      </c>
      <c r="O634" s="29">
        <f t="shared" si="109"/>
        <v>1320</v>
      </c>
      <c r="P634" s="32" cm="1">
        <f t="array" ref="P634">WPNFACTOR(C634)</f>
        <v>2.5</v>
      </c>
      <c r="Q634" s="34" cm="1">
        <f t="array" ref="Q634">HPFACTOr(C634)</f>
        <v>4</v>
      </c>
      <c r="R634" s="33">
        <f t="shared" si="110"/>
        <v>528</v>
      </c>
      <c r="S634" s="34">
        <f t="shared" si="111"/>
        <v>65500000</v>
      </c>
      <c r="T634" s="33">
        <f t="shared" si="112"/>
        <v>594</v>
      </c>
      <c r="U634" s="42">
        <f t="shared" si="113"/>
        <v>80615384.615384609</v>
      </c>
      <c r="V634" s="44"/>
      <c r="W634" s="29">
        <f t="shared" si="108"/>
        <v>47885538461.53846</v>
      </c>
      <c r="X634" s="41">
        <f t="shared" si="114"/>
        <v>35.478870973521296</v>
      </c>
      <c r="Y634" s="33">
        <f t="shared" si="115"/>
        <v>467.79017257790861</v>
      </c>
      <c r="Z634" s="33">
        <v>0.8</v>
      </c>
      <c r="AA634" s="29">
        <f t="shared" si="116"/>
        <v>374.2321380623269</v>
      </c>
      <c r="AB634" s="48">
        <f t="shared" si="117"/>
        <v>3631.3501306127082</v>
      </c>
      <c r="AD634" s="47">
        <f t="shared" si="118"/>
        <v>0</v>
      </c>
    </row>
    <row r="635" spans="1:30" x14ac:dyDescent="0.2">
      <c r="A635" s="30" t="s">
        <v>8860</v>
      </c>
      <c r="B635" s="29">
        <v>8</v>
      </c>
      <c r="C635" s="29">
        <v>2</v>
      </c>
      <c r="D635" s="29">
        <v>378</v>
      </c>
      <c r="E635" s="29">
        <v>13180</v>
      </c>
      <c r="F635" s="29">
        <v>13180</v>
      </c>
      <c r="G635" s="29">
        <v>26360</v>
      </c>
      <c r="H635" s="29">
        <v>94500</v>
      </c>
      <c r="I635" s="29">
        <v>13180</v>
      </c>
      <c r="J635" s="29">
        <v>268000000</v>
      </c>
      <c r="K635" s="29">
        <v>1212</v>
      </c>
      <c r="L635" s="29">
        <v>1461</v>
      </c>
      <c r="M635" s="29">
        <v>50</v>
      </c>
      <c r="N635" s="34">
        <v>50</v>
      </c>
      <c r="O635" s="29">
        <f t="shared" si="109"/>
        <v>1336.5</v>
      </c>
      <c r="P635" s="32" cm="1">
        <f t="array" ref="P635">WPNFACTOR(C635)</f>
        <v>4.5</v>
      </c>
      <c r="Q635" s="34" cm="1">
        <f t="array" ref="Q635">HPFACTOr(C635)</f>
        <v>2</v>
      </c>
      <c r="R635" s="33">
        <f t="shared" si="110"/>
        <v>297</v>
      </c>
      <c r="S635" s="34">
        <f t="shared" si="111"/>
        <v>134000000</v>
      </c>
      <c r="T635" s="33">
        <f t="shared" si="112"/>
        <v>334.125</v>
      </c>
      <c r="U635" s="42">
        <f t="shared" si="113"/>
        <v>164923076.92307693</v>
      </c>
      <c r="V635" s="44"/>
      <c r="W635" s="29">
        <f t="shared" si="108"/>
        <v>55104923076.92308</v>
      </c>
      <c r="X635" s="41">
        <f t="shared" si="114"/>
        <v>35.681462163883936</v>
      </c>
      <c r="Y635" s="33">
        <f t="shared" si="115"/>
        <v>484.50426020654527</v>
      </c>
      <c r="Z635" s="33">
        <v>0.8</v>
      </c>
      <c r="AA635" s="29">
        <f t="shared" si="116"/>
        <v>387.60340816523626</v>
      </c>
      <c r="AB635" s="48">
        <f t="shared" si="117"/>
        <v>3805.369212324787</v>
      </c>
      <c r="AD635" s="47">
        <f t="shared" si="118"/>
        <v>0</v>
      </c>
    </row>
    <row r="636" spans="1:30" x14ac:dyDescent="0.2">
      <c r="A636" s="30" t="s">
        <v>8860</v>
      </c>
      <c r="B636" s="29">
        <v>9</v>
      </c>
      <c r="C636" s="29">
        <v>2</v>
      </c>
      <c r="D636" s="29">
        <v>382</v>
      </c>
      <c r="E636" s="29">
        <v>13420</v>
      </c>
      <c r="F636" s="29">
        <v>13420</v>
      </c>
      <c r="G636" s="29">
        <v>26840</v>
      </c>
      <c r="H636" s="29">
        <v>96500</v>
      </c>
      <c r="I636" s="29">
        <v>13420</v>
      </c>
      <c r="J636" s="29">
        <v>274000000</v>
      </c>
      <c r="K636" s="29">
        <v>1230</v>
      </c>
      <c r="L636" s="29">
        <v>1474</v>
      </c>
      <c r="M636" s="29">
        <v>50</v>
      </c>
      <c r="N636" s="34">
        <v>50</v>
      </c>
      <c r="O636" s="29">
        <f t="shared" si="109"/>
        <v>1352</v>
      </c>
      <c r="P636" s="32" cm="1">
        <f t="array" ref="P636">WPNFACTOR(C636)</f>
        <v>4.5</v>
      </c>
      <c r="Q636" s="34" cm="1">
        <f t="array" ref="Q636">HPFACTOr(C636)</f>
        <v>2</v>
      </c>
      <c r="R636" s="33">
        <f t="shared" si="110"/>
        <v>300.44444444444446</v>
      </c>
      <c r="S636" s="34">
        <f t="shared" si="111"/>
        <v>137000000</v>
      </c>
      <c r="T636" s="33">
        <f t="shared" si="112"/>
        <v>338</v>
      </c>
      <c r="U636" s="42">
        <f t="shared" si="113"/>
        <v>168615384.61538461</v>
      </c>
      <c r="V636" s="44"/>
      <c r="W636" s="29">
        <f t="shared" si="108"/>
        <v>56992000000</v>
      </c>
      <c r="X636" s="41">
        <f t="shared" si="114"/>
        <v>35.730040370425797</v>
      </c>
      <c r="Y636" s="33">
        <f t="shared" si="115"/>
        <v>488.60001328492456</v>
      </c>
      <c r="Z636" s="33">
        <v>0.8</v>
      </c>
      <c r="AA636" s="29">
        <f t="shared" si="116"/>
        <v>390.88001062793967</v>
      </c>
      <c r="AB636" s="48">
        <f t="shared" si="117"/>
        <v>3848.3210760163543</v>
      </c>
      <c r="AD636" s="47">
        <f t="shared" si="118"/>
        <v>0</v>
      </c>
    </row>
    <row r="637" spans="1:30" x14ac:dyDescent="0.2">
      <c r="A637" s="30" t="s">
        <v>8860</v>
      </c>
      <c r="B637" s="29">
        <v>10</v>
      </c>
      <c r="C637" s="29">
        <v>3</v>
      </c>
      <c r="D637" s="29">
        <v>390</v>
      </c>
      <c r="E637" s="29">
        <v>13900</v>
      </c>
      <c r="F637" s="29">
        <v>27800</v>
      </c>
      <c r="G637" s="29">
        <v>13900</v>
      </c>
      <c r="H637" s="29">
        <v>100500</v>
      </c>
      <c r="I637" s="29">
        <v>13900</v>
      </c>
      <c r="J637" s="29">
        <v>286000000</v>
      </c>
      <c r="K637" s="29">
        <v>1276</v>
      </c>
      <c r="L637" s="29">
        <v>1510</v>
      </c>
      <c r="M637" s="29">
        <v>50</v>
      </c>
      <c r="N637" s="34">
        <v>50</v>
      </c>
      <c r="O637" s="29">
        <f t="shared" si="109"/>
        <v>1393</v>
      </c>
      <c r="P637" s="32" cm="1">
        <f t="array" ref="P637">WPNFACTOR(C637)</f>
        <v>2.5</v>
      </c>
      <c r="Q637" s="34" cm="1">
        <f t="array" ref="Q637">HPFACTOr(C637)</f>
        <v>4</v>
      </c>
      <c r="R637" s="33">
        <f t="shared" si="110"/>
        <v>557.20000000000005</v>
      </c>
      <c r="S637" s="34">
        <f t="shared" si="111"/>
        <v>71500000</v>
      </c>
      <c r="T637" s="33">
        <f t="shared" si="112"/>
        <v>626.85</v>
      </c>
      <c r="U637" s="42">
        <f t="shared" si="113"/>
        <v>88000000</v>
      </c>
      <c r="V637" s="44"/>
      <c r="W637" s="29">
        <f t="shared" si="108"/>
        <v>55162800000</v>
      </c>
      <c r="X637" s="41">
        <f t="shared" si="114"/>
        <v>35.682976637117676</v>
      </c>
      <c r="Y637" s="33">
        <f t="shared" si="115"/>
        <v>484.6314293250731</v>
      </c>
      <c r="Z637" s="33">
        <v>0.8</v>
      </c>
      <c r="AA637" s="29">
        <f t="shared" si="116"/>
        <v>387.70514346005848</v>
      </c>
      <c r="AB637" s="48">
        <f t="shared" si="117"/>
        <v>3806.7010110489659</v>
      </c>
      <c r="AD637" s="47">
        <f t="shared" si="118"/>
        <v>0</v>
      </c>
    </row>
    <row r="638" spans="1:30" x14ac:dyDescent="0.2">
      <c r="A638" s="30" t="s">
        <v>8861</v>
      </c>
      <c r="B638" s="29">
        <v>1</v>
      </c>
      <c r="C638" s="29">
        <v>2</v>
      </c>
      <c r="D638" s="29">
        <v>370</v>
      </c>
      <c r="E638" s="29">
        <v>12700</v>
      </c>
      <c r="F638" s="29">
        <v>12700</v>
      </c>
      <c r="G638" s="29">
        <v>25400</v>
      </c>
      <c r="H638" s="29">
        <v>90500</v>
      </c>
      <c r="I638" s="29">
        <v>12700</v>
      </c>
      <c r="J638" s="29">
        <v>256000000</v>
      </c>
      <c r="K638" s="29">
        <v>1181</v>
      </c>
      <c r="L638" s="29">
        <v>1427</v>
      </c>
      <c r="M638" s="29">
        <v>50</v>
      </c>
      <c r="N638" s="34">
        <v>50</v>
      </c>
      <c r="O638" s="29">
        <f t="shared" si="109"/>
        <v>1304</v>
      </c>
      <c r="P638" s="32" cm="1">
        <f t="array" ref="P638">WPNFACTOR(C638)</f>
        <v>4.5</v>
      </c>
      <c r="Q638" s="34" cm="1">
        <f t="array" ref="Q638">HPFACTOr(C638)</f>
        <v>2</v>
      </c>
      <c r="R638" s="33">
        <f t="shared" si="110"/>
        <v>289.77777777777777</v>
      </c>
      <c r="S638" s="34">
        <f t="shared" si="111"/>
        <v>128000000</v>
      </c>
      <c r="T638" s="33">
        <f t="shared" si="112"/>
        <v>326</v>
      </c>
      <c r="U638" s="42">
        <f t="shared" si="113"/>
        <v>157538461.53846154</v>
      </c>
      <c r="V638" s="44"/>
      <c r="W638" s="29">
        <f t="shared" si="108"/>
        <v>51357538461.53846</v>
      </c>
      <c r="X638" s="41">
        <f t="shared" si="114"/>
        <v>35.579857005414155</v>
      </c>
      <c r="Y638" s="33">
        <f t="shared" si="115"/>
        <v>476.04833443512024</v>
      </c>
      <c r="Z638" s="33">
        <v>0.8</v>
      </c>
      <c r="AA638" s="29">
        <f t="shared" si="116"/>
        <v>380.83866754809623</v>
      </c>
      <c r="AB638" s="48">
        <f t="shared" si="117"/>
        <v>3717.0756505626805</v>
      </c>
      <c r="AD638" s="47">
        <f t="shared" si="118"/>
        <v>0</v>
      </c>
    </row>
    <row r="639" spans="1:30" x14ac:dyDescent="0.2">
      <c r="A639" s="30" t="s">
        <v>8861</v>
      </c>
      <c r="B639" s="29">
        <v>2</v>
      </c>
      <c r="C639" s="29">
        <v>1</v>
      </c>
      <c r="D639" s="29">
        <v>376</v>
      </c>
      <c r="E639" s="29">
        <v>26120</v>
      </c>
      <c r="F639" s="29">
        <v>13060</v>
      </c>
      <c r="G639" s="29">
        <v>13060</v>
      </c>
      <c r="H639" s="29">
        <v>93500</v>
      </c>
      <c r="I639" s="29">
        <v>13060</v>
      </c>
      <c r="J639" s="29">
        <v>265000000</v>
      </c>
      <c r="K639" s="29">
        <v>1212</v>
      </c>
      <c r="L639" s="29">
        <v>1451</v>
      </c>
      <c r="M639" s="29">
        <v>50</v>
      </c>
      <c r="N639" s="34">
        <v>50</v>
      </c>
      <c r="O639" s="29">
        <f t="shared" si="109"/>
        <v>1331.5</v>
      </c>
      <c r="P639" s="32" cm="1">
        <f t="array" ref="P639">WPNFACTOR(C639)</f>
        <v>2</v>
      </c>
      <c r="Q639" s="34" cm="1">
        <f t="array" ref="Q639">HPFACTOr(C639)</f>
        <v>5</v>
      </c>
      <c r="R639" s="33">
        <f t="shared" si="110"/>
        <v>665.75</v>
      </c>
      <c r="S639" s="34">
        <f t="shared" si="111"/>
        <v>53000000</v>
      </c>
      <c r="T639" s="33">
        <f t="shared" si="112"/>
        <v>748.96875</v>
      </c>
      <c r="U639" s="42">
        <f t="shared" si="113"/>
        <v>65230769.230769232</v>
      </c>
      <c r="V639" s="44"/>
      <c r="W639" s="29">
        <f t="shared" si="108"/>
        <v>48855807692.307693</v>
      </c>
      <c r="X639" s="41">
        <f t="shared" si="114"/>
        <v>35.50781102039921</v>
      </c>
      <c r="Y639" s="33">
        <f t="shared" si="115"/>
        <v>470.14199879124533</v>
      </c>
      <c r="Z639" s="33">
        <v>0.8</v>
      </c>
      <c r="AA639" s="29">
        <f t="shared" si="116"/>
        <v>376.11359903299626</v>
      </c>
      <c r="AB639" s="48">
        <f t="shared" si="117"/>
        <v>3655.7127702376324</v>
      </c>
      <c r="AD639" s="47">
        <f t="shared" si="118"/>
        <v>0</v>
      </c>
    </row>
    <row r="640" spans="1:30" x14ac:dyDescent="0.2">
      <c r="A640" s="30" t="s">
        <v>8861</v>
      </c>
      <c r="B640" s="29">
        <v>3</v>
      </c>
      <c r="C640" s="29">
        <v>3</v>
      </c>
      <c r="D640" s="29">
        <v>382</v>
      </c>
      <c r="E640" s="29">
        <v>13420</v>
      </c>
      <c r="F640" s="29">
        <v>26840</v>
      </c>
      <c r="G640" s="29">
        <v>13420</v>
      </c>
      <c r="H640" s="29">
        <v>96500</v>
      </c>
      <c r="I640" s="29">
        <v>13420</v>
      </c>
      <c r="J640" s="29">
        <v>274000000</v>
      </c>
      <c r="K640" s="29">
        <v>1230</v>
      </c>
      <c r="L640" s="29">
        <v>1471</v>
      </c>
      <c r="M640" s="29">
        <v>50</v>
      </c>
      <c r="N640" s="34">
        <v>50</v>
      </c>
      <c r="O640" s="29">
        <f t="shared" si="109"/>
        <v>1350.5</v>
      </c>
      <c r="P640" s="32" cm="1">
        <f t="array" ref="P640">WPNFACTOR(C640)</f>
        <v>2.5</v>
      </c>
      <c r="Q640" s="34" cm="1">
        <f t="array" ref="Q640">HPFACTOr(C640)</f>
        <v>4</v>
      </c>
      <c r="R640" s="33">
        <f t="shared" si="110"/>
        <v>540.20000000000005</v>
      </c>
      <c r="S640" s="34">
        <f t="shared" si="111"/>
        <v>68500000</v>
      </c>
      <c r="T640" s="33">
        <f t="shared" si="112"/>
        <v>607.72500000000002</v>
      </c>
      <c r="U640" s="42">
        <f t="shared" si="113"/>
        <v>84307692.307692304</v>
      </c>
      <c r="V640" s="44"/>
      <c r="W640" s="29">
        <f t="shared" si="108"/>
        <v>51235892307.692307</v>
      </c>
      <c r="X640" s="41">
        <f t="shared" si="114"/>
        <v>35.576435765207528</v>
      </c>
      <c r="Y640" s="33">
        <f t="shared" si="115"/>
        <v>475.76619008610038</v>
      </c>
      <c r="Z640" s="33">
        <v>0.8</v>
      </c>
      <c r="AA640" s="29">
        <f t="shared" si="116"/>
        <v>380.6129520688803</v>
      </c>
      <c r="AB640" s="48">
        <f t="shared" si="117"/>
        <v>3714.1385586626488</v>
      </c>
      <c r="AD640" s="47">
        <f t="shared" si="118"/>
        <v>0</v>
      </c>
    </row>
    <row r="641" spans="1:30" x14ac:dyDescent="0.2">
      <c r="A641" s="30" t="s">
        <v>8861</v>
      </c>
      <c r="B641" s="29">
        <v>4</v>
      </c>
      <c r="C641" s="29">
        <v>1</v>
      </c>
      <c r="D641" s="29">
        <v>388</v>
      </c>
      <c r="E641" s="29">
        <v>27560</v>
      </c>
      <c r="F641" s="29">
        <v>13780</v>
      </c>
      <c r="G641" s="29">
        <v>13780</v>
      </c>
      <c r="H641" s="29">
        <v>99500</v>
      </c>
      <c r="I641" s="29">
        <v>13780</v>
      </c>
      <c r="J641" s="29">
        <v>283000000</v>
      </c>
      <c r="K641" s="29">
        <v>1254</v>
      </c>
      <c r="L641" s="29">
        <v>1500</v>
      </c>
      <c r="M641" s="29">
        <v>50</v>
      </c>
      <c r="N641" s="34">
        <v>50</v>
      </c>
      <c r="O641" s="29">
        <f t="shared" si="109"/>
        <v>1377</v>
      </c>
      <c r="P641" s="32" cm="1">
        <f t="array" ref="P641">WPNFACTOR(C641)</f>
        <v>2</v>
      </c>
      <c r="Q641" s="34" cm="1">
        <f t="array" ref="Q641">HPFACTOr(C641)</f>
        <v>5</v>
      </c>
      <c r="R641" s="33">
        <f t="shared" si="110"/>
        <v>688.5</v>
      </c>
      <c r="S641" s="34">
        <f t="shared" si="111"/>
        <v>56600000</v>
      </c>
      <c r="T641" s="33">
        <f t="shared" si="112"/>
        <v>774.5625</v>
      </c>
      <c r="U641" s="42">
        <f t="shared" si="113"/>
        <v>69661538.461538464</v>
      </c>
      <c r="V641" s="44"/>
      <c r="W641" s="29">
        <f t="shared" si="108"/>
        <v>53957215384.615387</v>
      </c>
      <c r="X641" s="41">
        <f t="shared" si="114"/>
        <v>35.651096844704874</v>
      </c>
      <c r="Y641" s="33">
        <f t="shared" si="115"/>
        <v>481.96153860631193</v>
      </c>
      <c r="Z641" s="33">
        <v>0.8</v>
      </c>
      <c r="AA641" s="29">
        <f t="shared" si="116"/>
        <v>385.56923088504959</v>
      </c>
      <c r="AB641" s="48">
        <f t="shared" si="117"/>
        <v>3778.7646407898769</v>
      </c>
      <c r="AD641" s="47">
        <f t="shared" si="118"/>
        <v>0</v>
      </c>
    </row>
    <row r="642" spans="1:30" x14ac:dyDescent="0.2">
      <c r="A642" s="30" t="s">
        <v>8861</v>
      </c>
      <c r="B642" s="29">
        <v>5</v>
      </c>
      <c r="C642" s="29">
        <v>3</v>
      </c>
      <c r="D642" s="29">
        <v>394</v>
      </c>
      <c r="E642" s="29">
        <v>14140</v>
      </c>
      <c r="F642" s="29">
        <v>28280</v>
      </c>
      <c r="G642" s="29">
        <v>14140</v>
      </c>
      <c r="H642" s="29">
        <v>102500</v>
      </c>
      <c r="I642" s="29">
        <v>14140</v>
      </c>
      <c r="J642" s="29">
        <v>292000000</v>
      </c>
      <c r="K642" s="29">
        <v>1282</v>
      </c>
      <c r="L642" s="29">
        <v>1526</v>
      </c>
      <c r="M642" s="29">
        <v>50</v>
      </c>
      <c r="N642" s="34">
        <v>50</v>
      </c>
      <c r="O642" s="29">
        <f t="shared" si="109"/>
        <v>1404</v>
      </c>
      <c r="P642" s="32" cm="1">
        <f t="array" ref="P642">WPNFACTOR(C642)</f>
        <v>2.5</v>
      </c>
      <c r="Q642" s="34" cm="1">
        <f t="array" ref="Q642">HPFACTOr(C642)</f>
        <v>4</v>
      </c>
      <c r="R642" s="33">
        <f t="shared" si="110"/>
        <v>561.6</v>
      </c>
      <c r="S642" s="34">
        <f t="shared" si="111"/>
        <v>73000000</v>
      </c>
      <c r="T642" s="33">
        <f t="shared" si="112"/>
        <v>631.80000000000007</v>
      </c>
      <c r="U642" s="42">
        <f t="shared" si="113"/>
        <v>89846153.84615384</v>
      </c>
      <c r="V642" s="44"/>
      <c r="W642" s="29">
        <f t="shared" si="108"/>
        <v>56764800000</v>
      </c>
      <c r="X642" s="41">
        <f t="shared" si="114"/>
        <v>35.724277536922614</v>
      </c>
      <c r="Y642" s="33">
        <f t="shared" si="115"/>
        <v>488.11232964549259</v>
      </c>
      <c r="Z642" s="33">
        <v>0.8</v>
      </c>
      <c r="AA642" s="29">
        <f t="shared" si="116"/>
        <v>390.4898637163941</v>
      </c>
      <c r="AB642" s="48">
        <f t="shared" si="117"/>
        <v>3843.2004568308353</v>
      </c>
      <c r="AD642" s="47">
        <f t="shared" si="118"/>
        <v>0</v>
      </c>
    </row>
    <row r="643" spans="1:30" x14ac:dyDescent="0.2">
      <c r="A643" s="30" t="s">
        <v>8861</v>
      </c>
      <c r="B643" s="29">
        <v>6</v>
      </c>
      <c r="C643" s="29">
        <v>1</v>
      </c>
      <c r="D643" s="29">
        <v>400</v>
      </c>
      <c r="E643" s="29">
        <v>30000</v>
      </c>
      <c r="F643" s="29">
        <v>15000</v>
      </c>
      <c r="G643" s="29">
        <v>15000</v>
      </c>
      <c r="H643" s="29">
        <v>110000</v>
      </c>
      <c r="I643" s="29">
        <v>15000</v>
      </c>
      <c r="J643" s="29">
        <v>300000000</v>
      </c>
      <c r="K643" s="29">
        <v>1505</v>
      </c>
      <c r="L643" s="29">
        <v>1747</v>
      </c>
      <c r="M643" s="29">
        <v>50</v>
      </c>
      <c r="N643" s="34">
        <v>50</v>
      </c>
      <c r="O643" s="29">
        <f t="shared" si="109"/>
        <v>1626</v>
      </c>
      <c r="P643" s="32" cm="1">
        <f t="array" ref="P643">WPNFACTOR(C643)</f>
        <v>2</v>
      </c>
      <c r="Q643" s="34" cm="1">
        <f t="array" ref="Q643">HPFACTOr(C643)</f>
        <v>5</v>
      </c>
      <c r="R643" s="33">
        <f t="shared" si="110"/>
        <v>813</v>
      </c>
      <c r="S643" s="34">
        <f t="shared" si="111"/>
        <v>60000000</v>
      </c>
      <c r="T643" s="33">
        <f t="shared" si="112"/>
        <v>914.625</v>
      </c>
      <c r="U643" s="42">
        <f t="shared" si="113"/>
        <v>73846153.84615384</v>
      </c>
      <c r="V643" s="44"/>
      <c r="W643" s="29">
        <f t="shared" si="108"/>
        <v>67541538461.53846</v>
      </c>
      <c r="X643" s="41">
        <f t="shared" si="114"/>
        <v>35.975055990308945</v>
      </c>
      <c r="Y643" s="33">
        <f t="shared" si="115"/>
        <v>509.79167279098624</v>
      </c>
      <c r="Z643" s="33">
        <v>0.8</v>
      </c>
      <c r="AA643" s="29">
        <f t="shared" si="116"/>
        <v>407.833338232789</v>
      </c>
      <c r="AB643" s="48">
        <f t="shared" si="117"/>
        <v>4072.4614590472088</v>
      </c>
      <c r="AD643" s="47">
        <f t="shared" si="118"/>
        <v>0</v>
      </c>
    </row>
    <row r="644" spans="1:30" x14ac:dyDescent="0.2">
      <c r="A644" s="30" t="s">
        <v>8861</v>
      </c>
      <c r="B644" s="29">
        <v>7</v>
      </c>
      <c r="C644" s="29">
        <v>3</v>
      </c>
      <c r="D644" s="29">
        <v>406</v>
      </c>
      <c r="E644" s="29">
        <v>16500</v>
      </c>
      <c r="F644" s="29">
        <v>32700</v>
      </c>
      <c r="G644" s="29">
        <v>16500</v>
      </c>
      <c r="H644" s="29">
        <v>114800</v>
      </c>
      <c r="I644" s="29">
        <v>16500</v>
      </c>
      <c r="J644" s="29">
        <v>318000000</v>
      </c>
      <c r="K644" s="29">
        <v>1532</v>
      </c>
      <c r="L644" s="29">
        <v>1779</v>
      </c>
      <c r="M644" s="29">
        <v>50</v>
      </c>
      <c r="N644" s="34">
        <v>50</v>
      </c>
      <c r="O644" s="29">
        <f t="shared" si="109"/>
        <v>1655.5</v>
      </c>
      <c r="P644" s="32" cm="1">
        <f t="array" ref="P644">WPNFACTOR(C644)</f>
        <v>2.5</v>
      </c>
      <c r="Q644" s="34" cm="1">
        <f t="array" ref="Q644">HPFACTOr(C644)</f>
        <v>4</v>
      </c>
      <c r="R644" s="33">
        <f t="shared" si="110"/>
        <v>662.2</v>
      </c>
      <c r="S644" s="34">
        <f t="shared" si="111"/>
        <v>79500000</v>
      </c>
      <c r="T644" s="33">
        <f t="shared" si="112"/>
        <v>744.97500000000002</v>
      </c>
      <c r="U644" s="42">
        <f t="shared" si="113"/>
        <v>97846153.84615384</v>
      </c>
      <c r="V644" s="44"/>
      <c r="W644" s="29">
        <f t="shared" si="108"/>
        <v>72892938461.538452</v>
      </c>
      <c r="X644" s="41">
        <f t="shared" si="114"/>
        <v>36.08506000841939</v>
      </c>
      <c r="Y644" s="33">
        <f t="shared" si="115"/>
        <v>519.60265853845476</v>
      </c>
      <c r="Z644" s="33">
        <v>0.8</v>
      </c>
      <c r="AA644" s="29">
        <f t="shared" si="116"/>
        <v>415.68212683076382</v>
      </c>
      <c r="AB644" s="48">
        <f t="shared" si="117"/>
        <v>4177.295062117968</v>
      </c>
      <c r="AD644" s="47">
        <f t="shared" si="118"/>
        <v>0</v>
      </c>
    </row>
    <row r="645" spans="1:30" x14ac:dyDescent="0.2">
      <c r="A645" s="30" t="s">
        <v>8861</v>
      </c>
      <c r="B645" s="29">
        <v>8</v>
      </c>
      <c r="C645" s="29">
        <v>2</v>
      </c>
      <c r="D645" s="29">
        <v>412</v>
      </c>
      <c r="E645" s="29">
        <v>18000</v>
      </c>
      <c r="F645" s="29">
        <v>18000</v>
      </c>
      <c r="G645" s="29">
        <v>35400</v>
      </c>
      <c r="H645" s="29">
        <v>119600</v>
      </c>
      <c r="I645" s="29">
        <v>18000</v>
      </c>
      <c r="J645" s="29">
        <v>336000000</v>
      </c>
      <c r="K645" s="29">
        <v>1563</v>
      </c>
      <c r="L645" s="29">
        <v>1809</v>
      </c>
      <c r="M645" s="29">
        <v>50</v>
      </c>
      <c r="N645" s="34">
        <v>50</v>
      </c>
      <c r="O645" s="29">
        <f t="shared" si="109"/>
        <v>1686</v>
      </c>
      <c r="P645" s="32" cm="1">
        <f t="array" ref="P645">WPNFACTOR(C645)</f>
        <v>4.5</v>
      </c>
      <c r="Q645" s="34" cm="1">
        <f t="array" ref="Q645">HPFACTOr(C645)</f>
        <v>2</v>
      </c>
      <c r="R645" s="33">
        <f t="shared" si="110"/>
        <v>374.66666666666669</v>
      </c>
      <c r="S645" s="34">
        <f t="shared" si="111"/>
        <v>168000000</v>
      </c>
      <c r="T645" s="33">
        <f t="shared" si="112"/>
        <v>421.5</v>
      </c>
      <c r="U645" s="42">
        <f t="shared" si="113"/>
        <v>206769230.76923075</v>
      </c>
      <c r="V645" s="44"/>
      <c r="W645" s="29">
        <f t="shared" si="108"/>
        <v>87153230769.230759</v>
      </c>
      <c r="X645" s="41">
        <f t="shared" si="114"/>
        <v>36.342835094903926</v>
      </c>
      <c r="Y645" s="33">
        <f t="shared" si="115"/>
        <v>543.33899205136174</v>
      </c>
      <c r="Z645" s="33">
        <v>0.8</v>
      </c>
      <c r="AA645" s="29">
        <f t="shared" si="116"/>
        <v>434.67119364108942</v>
      </c>
      <c r="AB645" s="48">
        <f t="shared" si="117"/>
        <v>4433.6475243996374</v>
      </c>
      <c r="AD645" s="47">
        <f t="shared" si="118"/>
        <v>0</v>
      </c>
    </row>
    <row r="646" spans="1:30" x14ac:dyDescent="0.2">
      <c r="A646" s="30" t="s">
        <v>8861</v>
      </c>
      <c r="B646" s="29">
        <v>9</v>
      </c>
      <c r="C646" s="29">
        <v>2</v>
      </c>
      <c r="D646" s="29">
        <v>418</v>
      </c>
      <c r="E646" s="29">
        <v>19500</v>
      </c>
      <c r="F646" s="29">
        <v>19500</v>
      </c>
      <c r="G646" s="29">
        <v>38100</v>
      </c>
      <c r="H646" s="29">
        <v>124400</v>
      </c>
      <c r="I646" s="29">
        <v>19500</v>
      </c>
      <c r="J646" s="29">
        <v>354000000</v>
      </c>
      <c r="K646" s="29">
        <v>1590</v>
      </c>
      <c r="L646" s="29">
        <v>1834</v>
      </c>
      <c r="M646" s="29">
        <v>50</v>
      </c>
      <c r="N646" s="34">
        <v>50</v>
      </c>
      <c r="O646" s="29">
        <f t="shared" si="109"/>
        <v>1712</v>
      </c>
      <c r="P646" s="32" cm="1">
        <f t="array" ref="P646">WPNFACTOR(C646)</f>
        <v>4.5</v>
      </c>
      <c r="Q646" s="34" cm="1">
        <f t="array" ref="Q646">HPFACTOr(C646)</f>
        <v>2</v>
      </c>
      <c r="R646" s="33">
        <f t="shared" si="110"/>
        <v>380.44444444444446</v>
      </c>
      <c r="S646" s="34">
        <f t="shared" si="111"/>
        <v>177000000</v>
      </c>
      <c r="T646" s="33">
        <f t="shared" si="112"/>
        <v>428</v>
      </c>
      <c r="U646" s="42">
        <f t="shared" si="113"/>
        <v>217846153.84615383</v>
      </c>
      <c r="V646" s="44"/>
      <c r="W646" s="29">
        <f t="shared" si="108"/>
        <v>93238153846.153839</v>
      </c>
      <c r="X646" s="41">
        <f t="shared" si="114"/>
        <v>36.44020138766723</v>
      </c>
      <c r="Y646" s="33">
        <f t="shared" si="115"/>
        <v>552.58414073756239</v>
      </c>
      <c r="Z646" s="33">
        <v>0.8</v>
      </c>
      <c r="AA646" s="29">
        <f t="shared" si="116"/>
        <v>442.06731259004994</v>
      </c>
      <c r="AB646" s="48">
        <f t="shared" si="117"/>
        <v>4534.5189576282501</v>
      </c>
      <c r="AD646" s="47">
        <f t="shared" si="118"/>
        <v>0</v>
      </c>
    </row>
    <row r="647" spans="1:30" x14ac:dyDescent="0.2">
      <c r="A647" s="30" t="s">
        <v>8861</v>
      </c>
      <c r="B647" s="29">
        <v>10</v>
      </c>
      <c r="C647" s="29">
        <v>3</v>
      </c>
      <c r="D647" s="29">
        <v>430</v>
      </c>
      <c r="E647" s="29">
        <v>22500</v>
      </c>
      <c r="F647" s="29">
        <v>43500</v>
      </c>
      <c r="G647" s="29">
        <v>22500</v>
      </c>
      <c r="H647" s="29">
        <v>134000</v>
      </c>
      <c r="I647" s="29">
        <v>22500</v>
      </c>
      <c r="J647" s="29">
        <v>390000000</v>
      </c>
      <c r="K647" s="29">
        <v>1660</v>
      </c>
      <c r="L647" s="29">
        <v>1899</v>
      </c>
      <c r="M647" s="29">
        <v>50</v>
      </c>
      <c r="N647" s="34">
        <v>50</v>
      </c>
      <c r="O647" s="29">
        <f t="shared" si="109"/>
        <v>1779.5</v>
      </c>
      <c r="P647" s="32" cm="1">
        <f t="array" ref="P647">WPNFACTOR(C647)</f>
        <v>2.5</v>
      </c>
      <c r="Q647" s="34" cm="1">
        <f t="array" ref="Q647">HPFACTOr(C647)</f>
        <v>4</v>
      </c>
      <c r="R647" s="33">
        <f t="shared" si="110"/>
        <v>711.8</v>
      </c>
      <c r="S647" s="34">
        <f t="shared" si="111"/>
        <v>97500000</v>
      </c>
      <c r="T647" s="33">
        <f t="shared" si="112"/>
        <v>800.77499999999998</v>
      </c>
      <c r="U647" s="42">
        <f t="shared" si="113"/>
        <v>120000000</v>
      </c>
      <c r="V647" s="44"/>
      <c r="W647" s="29">
        <f t="shared" si="108"/>
        <v>96093000000</v>
      </c>
      <c r="X647" s="41">
        <f t="shared" si="114"/>
        <v>36.483712288997424</v>
      </c>
      <c r="Y647" s="33">
        <f t="shared" si="115"/>
        <v>556.76629699705484</v>
      </c>
      <c r="Z647" s="33">
        <v>0.8</v>
      </c>
      <c r="AA647" s="29">
        <f t="shared" si="116"/>
        <v>445.41303759764389</v>
      </c>
      <c r="AB647" s="48">
        <f t="shared" si="117"/>
        <v>4580.335082238983</v>
      </c>
      <c r="AD647" s="47">
        <f t="shared" si="118"/>
        <v>0</v>
      </c>
    </row>
    <row r="648" spans="1:30" x14ac:dyDescent="0.2">
      <c r="A648" s="30" t="s">
        <v>8862</v>
      </c>
      <c r="B648" s="29">
        <v>1</v>
      </c>
      <c r="C648" s="29">
        <v>1</v>
      </c>
      <c r="D648" s="29">
        <v>500</v>
      </c>
      <c r="E648" s="29">
        <v>80000</v>
      </c>
      <c r="F648" s="29">
        <v>40000</v>
      </c>
      <c r="G648" s="29">
        <v>40000</v>
      </c>
      <c r="H648" s="29">
        <v>190000</v>
      </c>
      <c r="I648" s="29">
        <v>40000</v>
      </c>
      <c r="J648" s="29">
        <v>600000000</v>
      </c>
      <c r="K648" s="29">
        <v>2007</v>
      </c>
      <c r="L648" s="29">
        <v>2244</v>
      </c>
      <c r="M648" s="29">
        <v>50</v>
      </c>
      <c r="N648" s="34">
        <v>50</v>
      </c>
      <c r="O648" s="29">
        <f t="shared" si="109"/>
        <v>2125.5</v>
      </c>
      <c r="P648" s="32" cm="1">
        <f t="array" ref="P648">WPNFACTOR(C648)</f>
        <v>2</v>
      </c>
      <c r="Q648" s="34" cm="1">
        <f t="array" ref="Q648">HPFACTOr(C648)</f>
        <v>5</v>
      </c>
      <c r="R648" s="33">
        <f t="shared" si="110"/>
        <v>1062.75</v>
      </c>
      <c r="S648" s="34">
        <f t="shared" si="111"/>
        <v>120000000</v>
      </c>
      <c r="T648" s="33">
        <f t="shared" si="112"/>
        <v>1195.59375</v>
      </c>
      <c r="U648" s="42">
        <f t="shared" si="113"/>
        <v>147692307.69230768</v>
      </c>
      <c r="V648" s="44"/>
      <c r="W648" s="29">
        <f t="shared" si="108"/>
        <v>176580000000</v>
      </c>
      <c r="X648" s="41">
        <f t="shared" si="114"/>
        <v>37.361530991873089</v>
      </c>
      <c r="Y648" s="33">
        <f t="shared" si="115"/>
        <v>648.23933163410834</v>
      </c>
      <c r="Z648" s="33">
        <v>0.8</v>
      </c>
      <c r="AA648" s="29">
        <f t="shared" si="116"/>
        <v>518.59146530728674</v>
      </c>
      <c r="AB648" s="48">
        <f t="shared" si="117"/>
        <v>5610.2279068954358</v>
      </c>
      <c r="AD648" s="47">
        <f t="shared" si="118"/>
        <v>0</v>
      </c>
    </row>
    <row r="649" spans="1:30" x14ac:dyDescent="0.2">
      <c r="A649" s="30" t="s">
        <v>8862</v>
      </c>
      <c r="B649" s="29">
        <v>2</v>
      </c>
      <c r="C649" s="29">
        <v>1</v>
      </c>
      <c r="D649" s="29">
        <v>507</v>
      </c>
      <c r="E649" s="29">
        <v>83500</v>
      </c>
      <c r="F649" s="29">
        <v>41750</v>
      </c>
      <c r="G649" s="29">
        <v>41750</v>
      </c>
      <c r="H649" s="29">
        <v>195600</v>
      </c>
      <c r="I649" s="29">
        <v>41750</v>
      </c>
      <c r="J649" s="29">
        <v>621000000</v>
      </c>
      <c r="K649" s="29">
        <v>2038</v>
      </c>
      <c r="L649" s="29">
        <v>2283</v>
      </c>
      <c r="M649" s="29">
        <v>50</v>
      </c>
      <c r="N649" s="34">
        <v>50</v>
      </c>
      <c r="O649" s="29">
        <f t="shared" si="109"/>
        <v>2160.5</v>
      </c>
      <c r="P649" s="32" cm="1">
        <f t="array" ref="P649">WPNFACTOR(C649)</f>
        <v>2</v>
      </c>
      <c r="Q649" s="34" cm="1">
        <f t="array" ref="Q649">HPFACTOr(C649)</f>
        <v>5</v>
      </c>
      <c r="R649" s="33">
        <f t="shared" si="110"/>
        <v>1080.25</v>
      </c>
      <c r="S649" s="34">
        <f t="shared" si="111"/>
        <v>124200000</v>
      </c>
      <c r="T649" s="33">
        <f t="shared" si="112"/>
        <v>1215.28125</v>
      </c>
      <c r="U649" s="42">
        <f t="shared" si="113"/>
        <v>152861538.46153846</v>
      </c>
      <c r="V649" s="44"/>
      <c r="W649" s="29">
        <f t="shared" si="108"/>
        <v>185769761538.46155</v>
      </c>
      <c r="X649" s="41">
        <f t="shared" si="114"/>
        <v>37.434724731548251</v>
      </c>
      <c r="Y649" s="33">
        <f t="shared" si="115"/>
        <v>656.51364348191885</v>
      </c>
      <c r="Z649" s="33">
        <v>0.8</v>
      </c>
      <c r="AA649" s="29">
        <f t="shared" si="116"/>
        <v>525.21091478553512</v>
      </c>
      <c r="AB649" s="48">
        <f t="shared" si="117"/>
        <v>5705.9111913468769</v>
      </c>
      <c r="AD649" s="47">
        <f t="shared" si="118"/>
        <v>0</v>
      </c>
    </row>
    <row r="650" spans="1:30" x14ac:dyDescent="0.2">
      <c r="A650" s="30" t="s">
        <v>8862</v>
      </c>
      <c r="B650" s="29">
        <v>3</v>
      </c>
      <c r="C650" s="29">
        <v>2</v>
      </c>
      <c r="D650" s="29">
        <v>514</v>
      </c>
      <c r="E650" s="29">
        <v>43500</v>
      </c>
      <c r="F650" s="29">
        <v>43500</v>
      </c>
      <c r="G650" s="29">
        <v>87000</v>
      </c>
      <c r="H650" s="29">
        <v>201200</v>
      </c>
      <c r="I650" s="29">
        <v>43500</v>
      </c>
      <c r="J650" s="29">
        <v>642000000</v>
      </c>
      <c r="K650" s="29">
        <v>2071</v>
      </c>
      <c r="L650" s="29">
        <v>2310</v>
      </c>
      <c r="M650" s="29">
        <v>50</v>
      </c>
      <c r="N650" s="34">
        <v>50</v>
      </c>
      <c r="O650" s="29">
        <f t="shared" si="109"/>
        <v>2190.5</v>
      </c>
      <c r="P650" s="32" cm="1">
        <f t="array" ref="P650">WPNFACTOR(C650)</f>
        <v>4.5</v>
      </c>
      <c r="Q650" s="34" cm="1">
        <f t="array" ref="Q650">HPFACTOr(C650)</f>
        <v>2</v>
      </c>
      <c r="R650" s="33">
        <f t="shared" si="110"/>
        <v>486.77777777777777</v>
      </c>
      <c r="S650" s="34">
        <f t="shared" si="111"/>
        <v>321000000</v>
      </c>
      <c r="T650" s="33">
        <f t="shared" si="112"/>
        <v>547.625</v>
      </c>
      <c r="U650" s="42">
        <f t="shared" si="113"/>
        <v>395076923.07692307</v>
      </c>
      <c r="V650" s="44"/>
      <c r="W650" s="29">
        <f t="shared" si="108"/>
        <v>216354000000</v>
      </c>
      <c r="X650" s="41">
        <f t="shared" si="114"/>
        <v>37.654602837628339</v>
      </c>
      <c r="Y650" s="33">
        <f t="shared" si="115"/>
        <v>682.01076897290545</v>
      </c>
      <c r="Z650" s="33">
        <v>0.8</v>
      </c>
      <c r="AA650" s="29">
        <f t="shared" si="116"/>
        <v>545.60861517832438</v>
      </c>
      <c r="AB650" s="48">
        <f t="shared" si="117"/>
        <v>6003.2759887685052</v>
      </c>
      <c r="AD650" s="47">
        <f t="shared" si="118"/>
        <v>0</v>
      </c>
    </row>
    <row r="651" spans="1:30" x14ac:dyDescent="0.2">
      <c r="A651" s="30" t="s">
        <v>8862</v>
      </c>
      <c r="B651" s="29">
        <v>4</v>
      </c>
      <c r="C651" s="29">
        <v>3</v>
      </c>
      <c r="D651" s="29">
        <v>521</v>
      </c>
      <c r="E651" s="29">
        <v>45250</v>
      </c>
      <c r="F651" s="29">
        <v>90500</v>
      </c>
      <c r="G651" s="29">
        <v>45250</v>
      </c>
      <c r="H651" s="29">
        <v>206800</v>
      </c>
      <c r="I651" s="29">
        <v>45250</v>
      </c>
      <c r="J651" s="29">
        <v>663000000</v>
      </c>
      <c r="K651" s="29">
        <v>2115</v>
      </c>
      <c r="L651" s="29">
        <v>2341</v>
      </c>
      <c r="M651" s="29">
        <v>50</v>
      </c>
      <c r="N651" s="34">
        <v>50</v>
      </c>
      <c r="O651" s="29">
        <f t="shared" si="109"/>
        <v>2228</v>
      </c>
      <c r="P651" s="32" cm="1">
        <f t="array" ref="P651">WPNFACTOR(C651)</f>
        <v>2.5</v>
      </c>
      <c r="Q651" s="34" cm="1">
        <f t="array" ref="Q651">HPFACTOr(C651)</f>
        <v>4</v>
      </c>
      <c r="R651" s="33">
        <f t="shared" si="110"/>
        <v>891.2</v>
      </c>
      <c r="S651" s="34">
        <f t="shared" si="111"/>
        <v>165750000</v>
      </c>
      <c r="T651" s="33">
        <f t="shared" si="112"/>
        <v>1002.6</v>
      </c>
      <c r="U651" s="42">
        <f t="shared" si="113"/>
        <v>204000000</v>
      </c>
      <c r="V651" s="44"/>
      <c r="W651" s="29">
        <f t="shared" si="108"/>
        <v>204530400000</v>
      </c>
      <c r="X651" s="41">
        <f t="shared" si="114"/>
        <v>37.573524335190655</v>
      </c>
      <c r="Y651" s="33">
        <f t="shared" si="115"/>
        <v>672.49563056883483</v>
      </c>
      <c r="Z651" s="33">
        <v>0.8</v>
      </c>
      <c r="AA651" s="29">
        <f t="shared" si="116"/>
        <v>537.99650445506791</v>
      </c>
      <c r="AB651" s="48">
        <f t="shared" si="117"/>
        <v>5891.8627649188547</v>
      </c>
      <c r="AD651" s="47">
        <f t="shared" si="118"/>
        <v>0</v>
      </c>
    </row>
    <row r="652" spans="1:30" x14ac:dyDescent="0.2">
      <c r="A652" s="30" t="s">
        <v>8862</v>
      </c>
      <c r="B652" s="29">
        <v>5</v>
      </c>
      <c r="C652" s="29">
        <v>2</v>
      </c>
      <c r="D652" s="29">
        <v>528</v>
      </c>
      <c r="E652" s="29">
        <v>47000</v>
      </c>
      <c r="F652" s="29">
        <v>47000</v>
      </c>
      <c r="G652" s="29">
        <v>94000</v>
      </c>
      <c r="H652" s="29">
        <v>212400</v>
      </c>
      <c r="I652" s="29">
        <v>47000</v>
      </c>
      <c r="J652" s="29">
        <v>684000000</v>
      </c>
      <c r="K652" s="29">
        <v>2144</v>
      </c>
      <c r="L652" s="29">
        <v>2377</v>
      </c>
      <c r="M652" s="29">
        <v>50</v>
      </c>
      <c r="N652" s="34">
        <v>50</v>
      </c>
      <c r="O652" s="29">
        <f t="shared" si="109"/>
        <v>2260.5</v>
      </c>
      <c r="P652" s="32" cm="1">
        <f t="array" ref="P652">WPNFACTOR(C652)</f>
        <v>4.5</v>
      </c>
      <c r="Q652" s="34" cm="1">
        <f t="array" ref="Q652">HPFACTOr(C652)</f>
        <v>2</v>
      </c>
      <c r="R652" s="33">
        <f t="shared" si="110"/>
        <v>502.33333333333331</v>
      </c>
      <c r="S652" s="34">
        <f t="shared" si="111"/>
        <v>342000000</v>
      </c>
      <c r="T652" s="33">
        <f t="shared" si="112"/>
        <v>565.125</v>
      </c>
      <c r="U652" s="42">
        <f t="shared" si="113"/>
        <v>420923076.92307693</v>
      </c>
      <c r="V652" s="44"/>
      <c r="W652" s="29">
        <f t="shared" si="108"/>
        <v>237874153846.15384</v>
      </c>
      <c r="X652" s="41">
        <f t="shared" si="114"/>
        <v>37.79140756838796</v>
      </c>
      <c r="Y652" s="33">
        <f t="shared" si="115"/>
        <v>698.37199250737751</v>
      </c>
      <c r="Z652" s="33">
        <v>0.8</v>
      </c>
      <c r="AA652" s="29">
        <f t="shared" si="116"/>
        <v>558.69759400590203</v>
      </c>
      <c r="AB652" s="48">
        <f t="shared" si="117"/>
        <v>6196.0619619819381</v>
      </c>
      <c r="AD652" s="47">
        <f t="shared" si="118"/>
        <v>0</v>
      </c>
    </row>
    <row r="653" spans="1:30" x14ac:dyDescent="0.2">
      <c r="A653" s="30" t="s">
        <v>8862</v>
      </c>
      <c r="B653" s="29">
        <v>6</v>
      </c>
      <c r="C653" s="29">
        <v>3</v>
      </c>
      <c r="D653" s="29">
        <v>535</v>
      </c>
      <c r="E653" s="29">
        <v>48750</v>
      </c>
      <c r="F653" s="29">
        <v>97500</v>
      </c>
      <c r="G653" s="29">
        <v>48750</v>
      </c>
      <c r="H653" s="29">
        <v>218000</v>
      </c>
      <c r="I653" s="29">
        <v>48750</v>
      </c>
      <c r="J653" s="29">
        <v>705000000</v>
      </c>
      <c r="K653" s="29">
        <v>2179</v>
      </c>
      <c r="L653" s="29">
        <v>2419</v>
      </c>
      <c r="M653" s="29">
        <v>50</v>
      </c>
      <c r="N653" s="34">
        <v>50</v>
      </c>
      <c r="O653" s="29">
        <f t="shared" si="109"/>
        <v>2299</v>
      </c>
      <c r="P653" s="32" cm="1">
        <f t="array" ref="P653">WPNFACTOR(C653)</f>
        <v>2.5</v>
      </c>
      <c r="Q653" s="34" cm="1">
        <f t="array" ref="Q653">HPFACTOr(C653)</f>
        <v>4</v>
      </c>
      <c r="R653" s="33">
        <f t="shared" si="110"/>
        <v>919.6</v>
      </c>
      <c r="S653" s="34">
        <f t="shared" si="111"/>
        <v>176250000</v>
      </c>
      <c r="T653" s="33">
        <f t="shared" si="112"/>
        <v>1034.55</v>
      </c>
      <c r="U653" s="42">
        <f t="shared" si="113"/>
        <v>216923076.92307693</v>
      </c>
      <c r="V653" s="44"/>
      <c r="W653" s="29">
        <f t="shared" si="108"/>
        <v>224417769230.76923</v>
      </c>
      <c r="X653" s="41">
        <f t="shared" si="114"/>
        <v>37.707395955742371</v>
      </c>
      <c r="Y653" s="33">
        <f t="shared" si="115"/>
        <v>688.27866911562978</v>
      </c>
      <c r="Z653" s="33">
        <v>0.8</v>
      </c>
      <c r="AA653" s="29">
        <f t="shared" si="116"/>
        <v>550.62293529250383</v>
      </c>
      <c r="AB653" s="48">
        <f t="shared" si="117"/>
        <v>6076.9511746900216</v>
      </c>
      <c r="AD653" s="47">
        <f t="shared" si="118"/>
        <v>0</v>
      </c>
    </row>
    <row r="654" spans="1:30" x14ac:dyDescent="0.2">
      <c r="A654" s="30" t="s">
        <v>8862</v>
      </c>
      <c r="B654" s="29">
        <v>7</v>
      </c>
      <c r="C654" s="29">
        <v>2</v>
      </c>
      <c r="D654" s="29">
        <v>542</v>
      </c>
      <c r="E654" s="29">
        <v>50500</v>
      </c>
      <c r="F654" s="29">
        <v>50500</v>
      </c>
      <c r="G654" s="29">
        <v>101000</v>
      </c>
      <c r="H654" s="29">
        <v>223600</v>
      </c>
      <c r="I654" s="29">
        <v>50500</v>
      </c>
      <c r="J654" s="29">
        <v>726000000</v>
      </c>
      <c r="K654" s="29">
        <v>2222</v>
      </c>
      <c r="L654" s="29">
        <v>2459</v>
      </c>
      <c r="M654" s="29">
        <v>50</v>
      </c>
      <c r="N654" s="34">
        <v>50</v>
      </c>
      <c r="O654" s="29">
        <f t="shared" si="109"/>
        <v>2340.5</v>
      </c>
      <c r="P654" s="32" cm="1">
        <f t="array" ref="P654">WPNFACTOR(C654)</f>
        <v>4.5</v>
      </c>
      <c r="Q654" s="34" cm="1">
        <f t="array" ref="Q654">HPFACTOr(C654)</f>
        <v>2</v>
      </c>
      <c r="R654" s="33">
        <f t="shared" si="110"/>
        <v>520.11111111111109</v>
      </c>
      <c r="S654" s="34">
        <f t="shared" si="111"/>
        <v>363000000</v>
      </c>
      <c r="T654" s="33">
        <f t="shared" si="112"/>
        <v>585.125</v>
      </c>
      <c r="U654" s="42">
        <f t="shared" si="113"/>
        <v>446769230.76923078</v>
      </c>
      <c r="V654" s="44"/>
      <c r="W654" s="29">
        <f t="shared" si="108"/>
        <v>261415846153.84616</v>
      </c>
      <c r="X654" s="41">
        <f t="shared" si="114"/>
        <v>37.927555638890787</v>
      </c>
      <c r="Y654" s="33">
        <f t="shared" si="115"/>
        <v>715.04434672117873</v>
      </c>
      <c r="Z654" s="33">
        <v>0.8</v>
      </c>
      <c r="AA654" s="29">
        <f t="shared" si="116"/>
        <v>572.03547737694305</v>
      </c>
      <c r="AB654" s="48">
        <f t="shared" si="117"/>
        <v>6394.0687737399112</v>
      </c>
      <c r="AD654" s="47">
        <f t="shared" si="118"/>
        <v>0</v>
      </c>
    </row>
    <row r="655" spans="1:30" x14ac:dyDescent="0.2">
      <c r="A655" s="30" t="s">
        <v>8862</v>
      </c>
      <c r="B655" s="29">
        <v>8</v>
      </c>
      <c r="C655" s="29">
        <v>1</v>
      </c>
      <c r="D655" s="29">
        <v>549</v>
      </c>
      <c r="E655" s="29">
        <v>104500</v>
      </c>
      <c r="F655" s="29">
        <v>52250</v>
      </c>
      <c r="G655" s="29">
        <v>52250</v>
      </c>
      <c r="H655" s="29">
        <v>229200</v>
      </c>
      <c r="I655" s="29">
        <v>52250</v>
      </c>
      <c r="J655" s="29">
        <v>747000000</v>
      </c>
      <c r="K655" s="29">
        <v>2247</v>
      </c>
      <c r="L655" s="29">
        <v>2485</v>
      </c>
      <c r="M655" s="29">
        <v>50</v>
      </c>
      <c r="N655" s="34">
        <v>50</v>
      </c>
      <c r="O655" s="29">
        <f t="shared" si="109"/>
        <v>2366</v>
      </c>
      <c r="P655" s="32" cm="1">
        <f t="array" ref="P655">WPNFACTOR(C655)</f>
        <v>2</v>
      </c>
      <c r="Q655" s="34" cm="1">
        <f t="array" ref="Q655">HPFACTOr(C655)</f>
        <v>5</v>
      </c>
      <c r="R655" s="33">
        <f t="shared" si="110"/>
        <v>1183</v>
      </c>
      <c r="S655" s="34">
        <f t="shared" si="111"/>
        <v>149400000</v>
      </c>
      <c r="T655" s="33">
        <f t="shared" si="112"/>
        <v>1330.875</v>
      </c>
      <c r="U655" s="42">
        <f t="shared" si="113"/>
        <v>183876923.07692307</v>
      </c>
      <c r="V655" s="44"/>
      <c r="W655" s="29">
        <f t="shared" si="108"/>
        <v>244717200000</v>
      </c>
      <c r="X655" s="41">
        <f t="shared" si="114"/>
        <v>37.832324548867057</v>
      </c>
      <c r="Y655" s="33">
        <f t="shared" si="115"/>
        <v>703.34130634198004</v>
      </c>
      <c r="Z655" s="33">
        <v>0.8</v>
      </c>
      <c r="AA655" s="29">
        <f t="shared" si="116"/>
        <v>562.67304507358403</v>
      </c>
      <c r="AB655" s="48">
        <f t="shared" si="117"/>
        <v>6254.9162385484797</v>
      </c>
      <c r="AD655" s="47">
        <f t="shared" si="118"/>
        <v>0</v>
      </c>
    </row>
    <row r="656" spans="1:30" x14ac:dyDescent="0.2">
      <c r="A656" s="30" t="s">
        <v>8862</v>
      </c>
      <c r="B656" s="29">
        <v>9</v>
      </c>
      <c r="C656" s="29">
        <v>1</v>
      </c>
      <c r="D656" s="29">
        <v>556</v>
      </c>
      <c r="E656" s="29">
        <v>108000</v>
      </c>
      <c r="F656" s="29">
        <v>54000</v>
      </c>
      <c r="G656" s="29">
        <v>54000</v>
      </c>
      <c r="H656" s="29">
        <v>234800</v>
      </c>
      <c r="I656" s="29">
        <v>54000</v>
      </c>
      <c r="J656" s="29">
        <v>768000000</v>
      </c>
      <c r="K656" s="29">
        <v>2302</v>
      </c>
      <c r="L656" s="29">
        <v>2530</v>
      </c>
      <c r="M656" s="29">
        <v>50</v>
      </c>
      <c r="N656" s="34">
        <v>50</v>
      </c>
      <c r="O656" s="29">
        <f t="shared" si="109"/>
        <v>2416</v>
      </c>
      <c r="P656" s="32" cm="1">
        <f t="array" ref="P656">WPNFACTOR(C656)</f>
        <v>2</v>
      </c>
      <c r="Q656" s="34" cm="1">
        <f t="array" ref="Q656">HPFACTOr(C656)</f>
        <v>5</v>
      </c>
      <c r="R656" s="33">
        <f t="shared" si="110"/>
        <v>1208</v>
      </c>
      <c r="S656" s="34">
        <f t="shared" si="111"/>
        <v>153600000</v>
      </c>
      <c r="T656" s="33">
        <f t="shared" si="112"/>
        <v>1359</v>
      </c>
      <c r="U656" s="42">
        <f t="shared" si="113"/>
        <v>189046153.84615383</v>
      </c>
      <c r="V656" s="44"/>
      <c r="W656" s="29">
        <f t="shared" si="108"/>
        <v>256913723076.92303</v>
      </c>
      <c r="X656" s="41">
        <f t="shared" si="114"/>
        <v>37.902492997784265</v>
      </c>
      <c r="Y656" s="33">
        <f t="shared" si="115"/>
        <v>711.94562520514341</v>
      </c>
      <c r="Z656" s="33">
        <v>0.8</v>
      </c>
      <c r="AA656" s="29">
        <f t="shared" si="116"/>
        <v>569.55650016411471</v>
      </c>
      <c r="AB656" s="48">
        <f t="shared" si="117"/>
        <v>6357.149638756131</v>
      </c>
      <c r="AD656" s="47">
        <f t="shared" si="118"/>
        <v>0</v>
      </c>
    </row>
    <row r="657" spans="1:30" x14ac:dyDescent="0.2">
      <c r="A657" s="30" t="s">
        <v>8862</v>
      </c>
      <c r="B657" s="29">
        <v>10</v>
      </c>
      <c r="C657" s="29">
        <v>2</v>
      </c>
      <c r="D657" s="29">
        <v>570</v>
      </c>
      <c r="E657" s="29">
        <v>57500</v>
      </c>
      <c r="F657" s="29">
        <v>57500</v>
      </c>
      <c r="G657" s="29">
        <v>115000</v>
      </c>
      <c r="H657" s="29">
        <v>246000</v>
      </c>
      <c r="I657" s="29">
        <v>57500</v>
      </c>
      <c r="J657" s="29">
        <v>810000000</v>
      </c>
      <c r="K657" s="29">
        <v>2412</v>
      </c>
      <c r="L657" s="29">
        <v>2591</v>
      </c>
      <c r="M657" s="29">
        <v>50</v>
      </c>
      <c r="N657" s="34">
        <v>50</v>
      </c>
      <c r="O657" s="29">
        <f t="shared" si="109"/>
        <v>2501.5</v>
      </c>
      <c r="P657" s="32" cm="1">
        <f t="array" ref="P657">WPNFACTOR(C657)</f>
        <v>4.5</v>
      </c>
      <c r="Q657" s="34" cm="1">
        <f t="array" ref="Q657">HPFACTOr(C657)</f>
        <v>2</v>
      </c>
      <c r="R657" s="33">
        <f t="shared" si="110"/>
        <v>555.88888888888891</v>
      </c>
      <c r="S657" s="34">
        <f t="shared" si="111"/>
        <v>405000000</v>
      </c>
      <c r="T657" s="33">
        <f t="shared" si="112"/>
        <v>625.375</v>
      </c>
      <c r="U657" s="42">
        <f t="shared" si="113"/>
        <v>498461538.46153843</v>
      </c>
      <c r="V657" s="44"/>
      <c r="W657" s="29">
        <f t="shared" si="108"/>
        <v>311725384615.38458</v>
      </c>
      <c r="X657" s="41">
        <f t="shared" si="114"/>
        <v>38.181484685947773</v>
      </c>
      <c r="Y657" s="33">
        <f t="shared" si="115"/>
        <v>747.2106312370239</v>
      </c>
      <c r="Z657" s="33">
        <v>0.8</v>
      </c>
      <c r="AA657" s="29">
        <f t="shared" si="116"/>
        <v>597.76850498961915</v>
      </c>
      <c r="AB657" s="48">
        <f t="shared" si="117"/>
        <v>6780.4323898773655</v>
      </c>
      <c r="AD657" s="47">
        <f t="shared" si="118"/>
        <v>0</v>
      </c>
    </row>
    <row r="658" spans="1:30" x14ac:dyDescent="0.2">
      <c r="A658" s="30" t="s">
        <v>8863</v>
      </c>
      <c r="B658" s="29">
        <v>1</v>
      </c>
      <c r="C658" s="29">
        <v>1</v>
      </c>
      <c r="D658" s="29">
        <v>600</v>
      </c>
      <c r="E658" s="29">
        <v>280000</v>
      </c>
      <c r="F658" s="29">
        <v>140000</v>
      </c>
      <c r="G658" s="29">
        <v>140000</v>
      </c>
      <c r="H658" s="29">
        <v>430000</v>
      </c>
      <c r="I658" s="29">
        <v>115000</v>
      </c>
      <c r="J658" s="29">
        <v>15000000000</v>
      </c>
      <c r="K658" s="29">
        <v>3500</v>
      </c>
      <c r="L658" s="29">
        <v>3750</v>
      </c>
      <c r="M658" s="29">
        <v>50</v>
      </c>
      <c r="N658" s="34">
        <v>50</v>
      </c>
      <c r="O658" s="29">
        <f t="shared" si="109"/>
        <v>3625</v>
      </c>
      <c r="P658" s="32" cm="1">
        <f t="array" ref="P658">WPNFACTOR(C658)</f>
        <v>2</v>
      </c>
      <c r="Q658" s="34" cm="1">
        <f t="array" ref="Q658">HPFACTOr(C658)</f>
        <v>5</v>
      </c>
      <c r="R658" s="33">
        <f t="shared" si="110"/>
        <v>1812.5</v>
      </c>
      <c r="S658" s="34">
        <f t="shared" si="111"/>
        <v>3000000000</v>
      </c>
      <c r="T658" s="33">
        <f t="shared" si="112"/>
        <v>2039.0625</v>
      </c>
      <c r="U658" s="42">
        <f t="shared" si="113"/>
        <v>3692307692.3076921</v>
      </c>
      <c r="V658" s="44"/>
      <c r="W658" s="29">
        <f t="shared" si="108"/>
        <v>7528846153846.1533</v>
      </c>
      <c r="X658" s="41">
        <f t="shared" si="114"/>
        <v>42.775565917798303</v>
      </c>
      <c r="Y658" s="33">
        <f t="shared" si="115"/>
        <v>1656.464396324579</v>
      </c>
      <c r="Z658" s="33">
        <v>0.8</v>
      </c>
      <c r="AA658" s="29">
        <f t="shared" si="116"/>
        <v>1325.1715170596633</v>
      </c>
      <c r="AB658" s="48">
        <f t="shared" si="117"/>
        <v>19599.401406338922</v>
      </c>
      <c r="AD658" s="47">
        <f t="shared" si="118"/>
        <v>0</v>
      </c>
    </row>
    <row r="659" spans="1:30" x14ac:dyDescent="0.2">
      <c r="A659" s="30" t="s">
        <v>8863</v>
      </c>
      <c r="B659" s="29">
        <v>2</v>
      </c>
      <c r="C659" s="29">
        <v>2</v>
      </c>
      <c r="D659" s="29">
        <v>605</v>
      </c>
      <c r="E659" s="29">
        <v>142500</v>
      </c>
      <c r="F659" s="29">
        <v>142500</v>
      </c>
      <c r="G659" s="29">
        <v>285000</v>
      </c>
      <c r="H659" s="29">
        <v>434000</v>
      </c>
      <c r="I659" s="29">
        <v>116250</v>
      </c>
      <c r="J659" s="29">
        <v>15350000000</v>
      </c>
      <c r="K659" s="29">
        <v>3625</v>
      </c>
      <c r="L659" s="29">
        <v>3875</v>
      </c>
      <c r="M659" s="29">
        <v>50</v>
      </c>
      <c r="N659" s="34">
        <v>50</v>
      </c>
      <c r="O659" s="29">
        <f t="shared" si="109"/>
        <v>3750</v>
      </c>
      <c r="P659" s="32" cm="1">
        <f t="array" ref="P659">WPNFACTOR(C659)</f>
        <v>4.5</v>
      </c>
      <c r="Q659" s="34" cm="1">
        <f t="array" ref="Q659">HPFACTOr(C659)</f>
        <v>2</v>
      </c>
      <c r="R659" s="33">
        <f t="shared" si="110"/>
        <v>833.33333333333337</v>
      </c>
      <c r="S659" s="34">
        <f t="shared" si="111"/>
        <v>7675000000</v>
      </c>
      <c r="T659" s="33">
        <f t="shared" si="112"/>
        <v>937.5</v>
      </c>
      <c r="U659" s="42">
        <f t="shared" si="113"/>
        <v>9446153846.1538467</v>
      </c>
      <c r="V659" s="44"/>
      <c r="W659" s="29">
        <f t="shared" si="108"/>
        <v>8855769230769.2305</v>
      </c>
      <c r="X659" s="41">
        <f t="shared" si="114"/>
        <v>43.00975476659859</v>
      </c>
      <c r="Y659" s="33">
        <f t="shared" si="115"/>
        <v>1725.0694046928488</v>
      </c>
      <c r="Z659" s="33">
        <v>0.8</v>
      </c>
      <c r="AA659" s="29">
        <f t="shared" si="116"/>
        <v>1380.0555237542792</v>
      </c>
      <c r="AB659" s="48">
        <f t="shared" si="117"/>
        <v>20689.123733770615</v>
      </c>
      <c r="AD659" s="47">
        <f t="shared" si="118"/>
        <v>0</v>
      </c>
    </row>
    <row r="660" spans="1:30" x14ac:dyDescent="0.2">
      <c r="A660" s="30" t="s">
        <v>8863</v>
      </c>
      <c r="B660" s="29">
        <v>3</v>
      </c>
      <c r="C660" s="29">
        <v>3</v>
      </c>
      <c r="D660" s="29">
        <v>610</v>
      </c>
      <c r="E660" s="29">
        <v>157500</v>
      </c>
      <c r="F660" s="29">
        <v>315000</v>
      </c>
      <c r="G660" s="29">
        <v>157500</v>
      </c>
      <c r="H660" s="29">
        <v>458000</v>
      </c>
      <c r="I660" s="29">
        <v>123750</v>
      </c>
      <c r="J660" s="29">
        <v>17450000000</v>
      </c>
      <c r="K660" s="29">
        <v>4375</v>
      </c>
      <c r="L660" s="29">
        <v>4625</v>
      </c>
      <c r="M660" s="29">
        <v>50</v>
      </c>
      <c r="N660" s="34">
        <v>50</v>
      </c>
      <c r="O660" s="29">
        <f t="shared" si="109"/>
        <v>4500</v>
      </c>
      <c r="P660" s="32" cm="1">
        <f t="array" ref="P660">WPNFACTOR(C660)</f>
        <v>2.5</v>
      </c>
      <c r="Q660" s="34" cm="1">
        <f t="array" ref="Q660">HPFACTOr(C660)</f>
        <v>4</v>
      </c>
      <c r="R660" s="33">
        <f t="shared" si="110"/>
        <v>1800</v>
      </c>
      <c r="S660" s="34">
        <f t="shared" si="111"/>
        <v>4362500000</v>
      </c>
      <c r="T660" s="33">
        <f t="shared" si="112"/>
        <v>2025</v>
      </c>
      <c r="U660" s="42">
        <f t="shared" si="113"/>
        <v>5369230769.2307692</v>
      </c>
      <c r="V660" s="44"/>
      <c r="W660" s="29">
        <f t="shared" si="108"/>
        <v>10872692307692.307</v>
      </c>
      <c r="X660" s="41">
        <f t="shared" si="114"/>
        <v>43.305774459826807</v>
      </c>
      <c r="Y660" s="33">
        <f t="shared" si="115"/>
        <v>1815.8679961934604</v>
      </c>
      <c r="Z660" s="33">
        <v>0.8</v>
      </c>
      <c r="AA660" s="29">
        <f t="shared" si="116"/>
        <v>1452.6943969547683</v>
      </c>
      <c r="AB660" s="48">
        <f t="shared" si="117"/>
        <v>22153.670872010593</v>
      </c>
      <c r="AD660" s="47">
        <f t="shared" si="118"/>
        <v>0</v>
      </c>
    </row>
    <row r="661" spans="1:30" x14ac:dyDescent="0.2">
      <c r="A661" s="30" t="s">
        <v>8863</v>
      </c>
      <c r="B661" s="29">
        <v>4</v>
      </c>
      <c r="C661" s="29">
        <v>1</v>
      </c>
      <c r="D661" s="29">
        <v>615</v>
      </c>
      <c r="E661" s="29">
        <v>320000</v>
      </c>
      <c r="F661" s="29">
        <v>160000</v>
      </c>
      <c r="G661" s="29">
        <v>160000</v>
      </c>
      <c r="H661" s="29">
        <v>462000</v>
      </c>
      <c r="I661" s="29">
        <v>125000</v>
      </c>
      <c r="J661" s="29">
        <v>17800000000</v>
      </c>
      <c r="K661" s="29">
        <v>4500</v>
      </c>
      <c r="L661" s="29">
        <v>4750</v>
      </c>
      <c r="M661" s="29">
        <v>50</v>
      </c>
      <c r="N661" s="34">
        <v>50</v>
      </c>
      <c r="O661" s="29">
        <f t="shared" si="109"/>
        <v>4625</v>
      </c>
      <c r="P661" s="32" cm="1">
        <f t="array" ref="P661">WPNFACTOR(C661)</f>
        <v>2</v>
      </c>
      <c r="Q661" s="34" cm="1">
        <f t="array" ref="Q661">HPFACTOr(C661)</f>
        <v>5</v>
      </c>
      <c r="R661" s="33">
        <f t="shared" si="110"/>
        <v>2312.5</v>
      </c>
      <c r="S661" s="34">
        <f t="shared" si="111"/>
        <v>3560000000</v>
      </c>
      <c r="T661" s="33">
        <f t="shared" si="112"/>
        <v>2601.5625</v>
      </c>
      <c r="U661" s="42">
        <f t="shared" si="113"/>
        <v>4381538461.5384617</v>
      </c>
      <c r="V661" s="44"/>
      <c r="W661" s="29">
        <f t="shared" si="108"/>
        <v>11398846153846.154</v>
      </c>
      <c r="X661" s="41">
        <f t="shared" si="114"/>
        <v>43.373953028770195</v>
      </c>
      <c r="Y661" s="33">
        <f t="shared" si="115"/>
        <v>1837.4487010619901</v>
      </c>
      <c r="Z661" s="33">
        <v>0.8</v>
      </c>
      <c r="AA661" s="29">
        <f t="shared" si="116"/>
        <v>1469.9589608495921</v>
      </c>
      <c r="AB661" s="48">
        <f t="shared" si="117"/>
        <v>22505.411803636813</v>
      </c>
      <c r="AD661" s="47">
        <f t="shared" si="118"/>
        <v>0</v>
      </c>
    </row>
    <row r="662" spans="1:30" x14ac:dyDescent="0.2">
      <c r="A662" s="30" t="s">
        <v>8863</v>
      </c>
      <c r="B662" s="29">
        <v>5</v>
      </c>
      <c r="C662" s="29">
        <v>2</v>
      </c>
      <c r="D662" s="29">
        <v>620</v>
      </c>
      <c r="E662" s="29">
        <v>175000</v>
      </c>
      <c r="F662" s="29">
        <v>175000</v>
      </c>
      <c r="G662" s="29">
        <v>350000</v>
      </c>
      <c r="H662" s="29">
        <v>486000</v>
      </c>
      <c r="I662" s="29">
        <v>132500</v>
      </c>
      <c r="J662" s="29">
        <v>19900000000</v>
      </c>
      <c r="K662" s="29">
        <v>5250</v>
      </c>
      <c r="L662" s="29">
        <v>5500</v>
      </c>
      <c r="M662" s="29">
        <v>50</v>
      </c>
      <c r="N662" s="34">
        <v>50</v>
      </c>
      <c r="O662" s="29">
        <f t="shared" si="109"/>
        <v>5375</v>
      </c>
      <c r="P662" s="32" cm="1">
        <f t="array" ref="P662">WPNFACTOR(C662)</f>
        <v>4.5</v>
      </c>
      <c r="Q662" s="34" cm="1">
        <f t="array" ref="Q662">HPFACTOr(C662)</f>
        <v>2</v>
      </c>
      <c r="R662" s="33">
        <f t="shared" si="110"/>
        <v>1194.4444444444443</v>
      </c>
      <c r="S662" s="34">
        <f t="shared" si="111"/>
        <v>9950000000</v>
      </c>
      <c r="T662" s="33">
        <f t="shared" si="112"/>
        <v>1343.75</v>
      </c>
      <c r="U662" s="42">
        <f t="shared" si="113"/>
        <v>12246153846.153845</v>
      </c>
      <c r="V662" s="44"/>
      <c r="W662" s="29">
        <f t="shared" si="108"/>
        <v>16455769230769.229</v>
      </c>
      <c r="X662" s="41">
        <f t="shared" si="114"/>
        <v>43.903658700865641</v>
      </c>
      <c r="Y662" s="33">
        <f t="shared" si="115"/>
        <v>2014.0931253122928</v>
      </c>
      <c r="Z662" s="33">
        <v>0.8</v>
      </c>
      <c r="AA662" s="29">
        <f t="shared" si="116"/>
        <v>1611.2745002498343</v>
      </c>
      <c r="AB662" s="48">
        <f t="shared" si="117"/>
        <v>25435.448278873151</v>
      </c>
      <c r="AD662" s="47">
        <f t="shared" si="118"/>
        <v>0</v>
      </c>
    </row>
    <row r="663" spans="1:30" x14ac:dyDescent="0.2">
      <c r="A663" s="30" t="s">
        <v>8863</v>
      </c>
      <c r="B663" s="29">
        <v>6</v>
      </c>
      <c r="C663" s="29">
        <v>1</v>
      </c>
      <c r="D663" s="29">
        <v>625</v>
      </c>
      <c r="E663" s="29">
        <v>355000</v>
      </c>
      <c r="F663" s="29">
        <v>177500</v>
      </c>
      <c r="G663" s="29">
        <v>177500</v>
      </c>
      <c r="H663" s="29">
        <v>490000</v>
      </c>
      <c r="I663" s="29">
        <v>133750</v>
      </c>
      <c r="J663" s="29">
        <v>20250000000</v>
      </c>
      <c r="K663" s="29">
        <v>5375</v>
      </c>
      <c r="L663" s="29">
        <v>5625</v>
      </c>
      <c r="M663" s="29">
        <v>50</v>
      </c>
      <c r="N663" s="34">
        <v>50</v>
      </c>
      <c r="O663" s="29">
        <f t="shared" si="109"/>
        <v>5500</v>
      </c>
      <c r="P663" s="32" cm="1">
        <f t="array" ref="P663">WPNFACTOR(C663)</f>
        <v>2</v>
      </c>
      <c r="Q663" s="34" cm="1">
        <f t="array" ref="Q663">HPFACTOr(C663)</f>
        <v>5</v>
      </c>
      <c r="R663" s="33">
        <f t="shared" si="110"/>
        <v>2750</v>
      </c>
      <c r="S663" s="34">
        <f t="shared" si="111"/>
        <v>4050000000</v>
      </c>
      <c r="T663" s="33">
        <f t="shared" si="112"/>
        <v>3093.75</v>
      </c>
      <c r="U663" s="42">
        <f t="shared" si="113"/>
        <v>4984615384.6153841</v>
      </c>
      <c r="V663" s="44"/>
      <c r="W663" s="29">
        <f t="shared" si="108"/>
        <v>15421153846153.844</v>
      </c>
      <c r="X663" s="41">
        <f t="shared" si="114"/>
        <v>43.809975948584132</v>
      </c>
      <c r="Y663" s="33">
        <f t="shared" si="115"/>
        <v>1981.6603388846668</v>
      </c>
      <c r="Z663" s="33">
        <v>0.8</v>
      </c>
      <c r="AA663" s="29">
        <f t="shared" si="116"/>
        <v>1585.3282711077336</v>
      </c>
      <c r="AB663" s="48">
        <f t="shared" si="117"/>
        <v>24890.805810824222</v>
      </c>
      <c r="AD663" s="47">
        <f t="shared" si="118"/>
        <v>0</v>
      </c>
    </row>
    <row r="664" spans="1:30" x14ac:dyDescent="0.2">
      <c r="A664" s="30" t="s">
        <v>8863</v>
      </c>
      <c r="B664" s="29">
        <v>7</v>
      </c>
      <c r="C664" s="29">
        <v>3</v>
      </c>
      <c r="D664" s="29">
        <v>630</v>
      </c>
      <c r="E664" s="29">
        <v>203000</v>
      </c>
      <c r="F664" s="29">
        <v>406000</v>
      </c>
      <c r="G664" s="29">
        <v>203000</v>
      </c>
      <c r="H664" s="29">
        <v>514000</v>
      </c>
      <c r="I664" s="29">
        <v>141250</v>
      </c>
      <c r="J664" s="29">
        <v>22350000000</v>
      </c>
      <c r="K664" s="29">
        <v>6125</v>
      </c>
      <c r="L664" s="29">
        <v>6375</v>
      </c>
      <c r="M664" s="29">
        <v>50</v>
      </c>
      <c r="N664" s="34">
        <v>50</v>
      </c>
      <c r="O664" s="29">
        <f t="shared" si="109"/>
        <v>6250</v>
      </c>
      <c r="P664" s="32" cm="1">
        <f t="array" ref="P664">WPNFACTOR(C664)</f>
        <v>2.5</v>
      </c>
      <c r="Q664" s="34" cm="1">
        <f t="array" ref="Q664">HPFACTOr(C664)</f>
        <v>4</v>
      </c>
      <c r="R664" s="33">
        <f t="shared" si="110"/>
        <v>2500</v>
      </c>
      <c r="S664" s="34">
        <f t="shared" si="111"/>
        <v>5587500000</v>
      </c>
      <c r="T664" s="33">
        <f t="shared" si="112"/>
        <v>2812.5</v>
      </c>
      <c r="U664" s="42">
        <f t="shared" si="113"/>
        <v>6876923076.9230766</v>
      </c>
      <c r="V664" s="44"/>
      <c r="W664" s="29">
        <f t="shared" ref="W664:W707" si="119">T664*U664</f>
        <v>19341346153846.152</v>
      </c>
      <c r="X664" s="41">
        <f t="shared" si="114"/>
        <v>44.136753443132882</v>
      </c>
      <c r="Y664" s="33">
        <f t="shared" si="115"/>
        <v>2097.1122368389701</v>
      </c>
      <c r="Z664" s="33">
        <v>0.8</v>
      </c>
      <c r="AA664" s="29">
        <f t="shared" si="116"/>
        <v>1677.6897894711763</v>
      </c>
      <c r="AB664" s="48">
        <f t="shared" si="117"/>
        <v>26842.866977529615</v>
      </c>
      <c r="AD664" s="47">
        <f t="shared" si="118"/>
        <v>0</v>
      </c>
    </row>
    <row r="665" spans="1:30" x14ac:dyDescent="0.2">
      <c r="A665" s="30" t="s">
        <v>8863</v>
      </c>
      <c r="B665" s="29">
        <v>8</v>
      </c>
      <c r="C665" s="29">
        <v>3</v>
      </c>
      <c r="D665" s="29">
        <v>635</v>
      </c>
      <c r="E665" s="29">
        <v>206000</v>
      </c>
      <c r="F665" s="29">
        <v>412000</v>
      </c>
      <c r="G665" s="29">
        <v>206000</v>
      </c>
      <c r="H665" s="29">
        <v>518000</v>
      </c>
      <c r="I665" s="29">
        <v>142500</v>
      </c>
      <c r="J665" s="29">
        <v>22700000000</v>
      </c>
      <c r="K665" s="29">
        <v>6250</v>
      </c>
      <c r="L665" s="29">
        <v>6500</v>
      </c>
      <c r="M665" s="29">
        <v>50</v>
      </c>
      <c r="N665" s="34">
        <v>50</v>
      </c>
      <c r="O665" s="29">
        <f t="shared" si="109"/>
        <v>6375</v>
      </c>
      <c r="P665" s="32" cm="1">
        <f t="array" ref="P665">WPNFACTOR(C665)</f>
        <v>2.5</v>
      </c>
      <c r="Q665" s="34" cm="1">
        <f t="array" ref="Q665">HPFACTOr(C665)</f>
        <v>4</v>
      </c>
      <c r="R665" s="33">
        <f t="shared" si="110"/>
        <v>2550</v>
      </c>
      <c r="S665" s="34">
        <f t="shared" si="111"/>
        <v>5675000000</v>
      </c>
      <c r="T665" s="33">
        <f t="shared" si="112"/>
        <v>2868.75</v>
      </c>
      <c r="U665" s="42">
        <f t="shared" si="113"/>
        <v>6984615384.6153841</v>
      </c>
      <c r="V665" s="44"/>
      <c r="W665" s="29">
        <f t="shared" si="119"/>
        <v>20037115384615.383</v>
      </c>
      <c r="X665" s="41">
        <f t="shared" si="114"/>
        <v>44.18774006143726</v>
      </c>
      <c r="Y665" s="33">
        <f t="shared" si="115"/>
        <v>2115.7229633738166</v>
      </c>
      <c r="Z665" s="33">
        <v>0.8</v>
      </c>
      <c r="AA665" s="29">
        <f t="shared" si="116"/>
        <v>1692.5783706990533</v>
      </c>
      <c r="AB665" s="48">
        <f t="shared" si="117"/>
        <v>27160.956898811106</v>
      </c>
      <c r="AD665" s="47">
        <f t="shared" si="118"/>
        <v>0</v>
      </c>
    </row>
    <row r="666" spans="1:30" x14ac:dyDescent="0.2">
      <c r="A666" s="30" t="s">
        <v>8863</v>
      </c>
      <c r="B666" s="29">
        <v>9</v>
      </c>
      <c r="C666" s="29">
        <v>1</v>
      </c>
      <c r="D666" s="29">
        <v>640</v>
      </c>
      <c r="E666" s="29">
        <v>448000</v>
      </c>
      <c r="F666" s="29">
        <v>224000</v>
      </c>
      <c r="G666" s="29">
        <v>224000</v>
      </c>
      <c r="H666" s="29">
        <v>542000</v>
      </c>
      <c r="I666" s="29">
        <v>150000</v>
      </c>
      <c r="J666" s="29">
        <v>24800000000</v>
      </c>
      <c r="K666" s="29">
        <v>7000</v>
      </c>
      <c r="L666" s="29">
        <v>7250</v>
      </c>
      <c r="M666" s="29">
        <v>50</v>
      </c>
      <c r="N666" s="34">
        <v>50</v>
      </c>
      <c r="O666" s="29">
        <f t="shared" si="109"/>
        <v>7125</v>
      </c>
      <c r="P666" s="32" cm="1">
        <f t="array" ref="P666">WPNFACTOR(C666)</f>
        <v>2</v>
      </c>
      <c r="Q666" s="34" cm="1">
        <f t="array" ref="Q666">HPFACTOr(C666)</f>
        <v>5</v>
      </c>
      <c r="R666" s="33">
        <f t="shared" si="110"/>
        <v>3562.5</v>
      </c>
      <c r="S666" s="34">
        <f t="shared" si="111"/>
        <v>4960000000</v>
      </c>
      <c r="T666" s="33">
        <f t="shared" si="112"/>
        <v>4007.8125</v>
      </c>
      <c r="U666" s="42">
        <f t="shared" si="113"/>
        <v>6104615384.6153841</v>
      </c>
      <c r="V666" s="44"/>
      <c r="W666" s="29">
        <f t="shared" si="119"/>
        <v>24466153846153.844</v>
      </c>
      <c r="X666" s="41">
        <f t="shared" si="114"/>
        <v>44.475852556726458</v>
      </c>
      <c r="Y666" s="33">
        <f t="shared" si="115"/>
        <v>2224.0340170145159</v>
      </c>
      <c r="Z666" s="33">
        <v>0.8</v>
      </c>
      <c r="AA666" s="29">
        <f t="shared" si="116"/>
        <v>1779.2272136116128</v>
      </c>
      <c r="AB666" s="48">
        <f t="shared" si="117"/>
        <v>29030.54801066342</v>
      </c>
      <c r="AD666" s="47">
        <f t="shared" si="118"/>
        <v>0</v>
      </c>
    </row>
    <row r="667" spans="1:30" x14ac:dyDescent="0.2">
      <c r="A667" s="30" t="s">
        <v>8863</v>
      </c>
      <c r="B667" s="29">
        <v>10</v>
      </c>
      <c r="C667" s="29">
        <v>1</v>
      </c>
      <c r="D667" s="29">
        <v>650</v>
      </c>
      <c r="E667" s="29">
        <v>460000</v>
      </c>
      <c r="F667" s="29">
        <v>230000</v>
      </c>
      <c r="G667" s="29">
        <v>230000</v>
      </c>
      <c r="H667" s="29">
        <v>550000</v>
      </c>
      <c r="I667" s="29">
        <v>152500</v>
      </c>
      <c r="J667" s="29">
        <v>25500000000</v>
      </c>
      <c r="K667" s="29">
        <v>7250</v>
      </c>
      <c r="L667" s="29">
        <v>7500</v>
      </c>
      <c r="M667" s="29">
        <v>50</v>
      </c>
      <c r="N667" s="34">
        <v>50</v>
      </c>
      <c r="O667" s="29">
        <f t="shared" si="109"/>
        <v>7375</v>
      </c>
      <c r="P667" s="32" cm="1">
        <f t="array" ref="P667">WPNFACTOR(C667)</f>
        <v>2</v>
      </c>
      <c r="Q667" s="34" cm="1">
        <f t="array" ref="Q667">HPFACTOr(C667)</f>
        <v>5</v>
      </c>
      <c r="R667" s="33">
        <f t="shared" si="110"/>
        <v>3687.5</v>
      </c>
      <c r="S667" s="34">
        <f t="shared" si="111"/>
        <v>5100000000</v>
      </c>
      <c r="T667" s="33">
        <f t="shared" si="112"/>
        <v>4148.4375</v>
      </c>
      <c r="U667" s="42">
        <f t="shared" si="113"/>
        <v>6276923076.9230766</v>
      </c>
      <c r="V667" s="44"/>
      <c r="W667" s="29">
        <f t="shared" si="119"/>
        <v>26039423076923.074</v>
      </c>
      <c r="X667" s="41">
        <f t="shared" si="114"/>
        <v>44.56576271839554</v>
      </c>
      <c r="Y667" s="33">
        <f t="shared" si="115"/>
        <v>2258.9563519600833</v>
      </c>
      <c r="Z667" s="33">
        <v>0.8</v>
      </c>
      <c r="AA667" s="29">
        <f t="shared" si="116"/>
        <v>1807.1650815680669</v>
      </c>
      <c r="AB667" s="48">
        <f t="shared" si="117"/>
        <v>29639.92629064135</v>
      </c>
      <c r="AD667" s="47">
        <f t="shared" si="118"/>
        <v>0</v>
      </c>
    </row>
    <row r="668" spans="1:30" x14ac:dyDescent="0.2">
      <c r="A668" s="30" t="s">
        <v>8864</v>
      </c>
      <c r="B668" s="29">
        <v>1</v>
      </c>
      <c r="C668" s="29">
        <v>3</v>
      </c>
      <c r="D668" s="29">
        <v>504</v>
      </c>
      <c r="E668" s="29">
        <v>10719</v>
      </c>
      <c r="F668" s="29">
        <v>42680</v>
      </c>
      <c r="G668" s="29">
        <v>10670</v>
      </c>
      <c r="H668" s="29">
        <v>227166</v>
      </c>
      <c r="I668" s="29">
        <v>15287</v>
      </c>
      <c r="J668" s="29">
        <v>458875328</v>
      </c>
      <c r="K668" s="29">
        <v>7833</v>
      </c>
      <c r="L668" s="29">
        <v>12252</v>
      </c>
      <c r="N668" s="34"/>
      <c r="O668" s="29">
        <f t="shared" si="109"/>
        <v>10042.5</v>
      </c>
      <c r="P668" s="32" cm="1">
        <f t="array" ref="P668">WPNFACTOR(C668)</f>
        <v>2.5</v>
      </c>
      <c r="Q668" s="34" cm="1">
        <f t="array" ref="Q668">HPFACTOr(C668)</f>
        <v>4</v>
      </c>
      <c r="R668" s="33">
        <f t="shared" si="110"/>
        <v>4017</v>
      </c>
      <c r="S668" s="34">
        <f t="shared" si="111"/>
        <v>114718832</v>
      </c>
      <c r="T668" s="33">
        <f t="shared" si="112"/>
        <v>4017</v>
      </c>
      <c r="U668" s="42">
        <f t="shared" si="113"/>
        <v>114718832</v>
      </c>
      <c r="V668" s="44"/>
      <c r="W668" s="29">
        <f t="shared" si="119"/>
        <v>460825548144</v>
      </c>
      <c r="X668" s="41">
        <f t="shared" si="114"/>
        <v>38.745429745695134</v>
      </c>
      <c r="Y668" s="33">
        <f t="shared" si="115"/>
        <v>823.91827729668785</v>
      </c>
      <c r="Z668" s="33">
        <v>0.8</v>
      </c>
      <c r="AA668" s="29">
        <f t="shared" si="116"/>
        <v>659.13462183735032</v>
      </c>
      <c r="AB668" s="48">
        <f t="shared" si="117"/>
        <v>7724.057819935204</v>
      </c>
      <c r="AD668" s="47">
        <f t="shared" si="118"/>
        <v>0</v>
      </c>
    </row>
    <row r="669" spans="1:30" x14ac:dyDescent="0.2">
      <c r="A669" s="30" t="s">
        <v>8864</v>
      </c>
      <c r="B669" s="29">
        <v>2</v>
      </c>
      <c r="C669" s="29">
        <v>2</v>
      </c>
      <c r="D669" s="29">
        <v>508</v>
      </c>
      <c r="E669" s="29">
        <v>13425</v>
      </c>
      <c r="F669" s="29">
        <v>13546</v>
      </c>
      <c r="G669" s="29">
        <v>54428</v>
      </c>
      <c r="H669" s="29">
        <v>284718</v>
      </c>
      <c r="I669" s="29">
        <v>19279</v>
      </c>
      <c r="J669" s="29">
        <v>289842912</v>
      </c>
      <c r="K669" s="29">
        <v>12223</v>
      </c>
      <c r="L669" s="29">
        <v>24428</v>
      </c>
      <c r="N669" s="34"/>
      <c r="O669" s="29">
        <f t="shared" si="109"/>
        <v>18325.5</v>
      </c>
      <c r="P669" s="32" cm="1">
        <f t="array" ref="P669">WPNFACTOR(C669)</f>
        <v>4.5</v>
      </c>
      <c r="Q669" s="34" cm="1">
        <f t="array" ref="Q669">HPFACTOr(C669)</f>
        <v>2</v>
      </c>
      <c r="R669" s="33">
        <f t="shared" si="110"/>
        <v>4072.3333333333335</v>
      </c>
      <c r="S669" s="34">
        <f t="shared" si="111"/>
        <v>144921456</v>
      </c>
      <c r="T669" s="33">
        <f t="shared" si="112"/>
        <v>4072.3333333333335</v>
      </c>
      <c r="U669" s="42">
        <f t="shared" si="113"/>
        <v>144921456</v>
      </c>
      <c r="V669" s="44"/>
      <c r="W669" s="29">
        <f t="shared" si="119"/>
        <v>590168475984</v>
      </c>
      <c r="X669" s="41">
        <f t="shared" si="114"/>
        <v>39.102335904625484</v>
      </c>
      <c r="Y669" s="33">
        <f t="shared" si="115"/>
        <v>876.48401895491804</v>
      </c>
      <c r="Z669" s="33">
        <v>0.8</v>
      </c>
      <c r="AA669" s="29">
        <f t="shared" si="116"/>
        <v>701.18721516393452</v>
      </c>
      <c r="AB669" s="48">
        <f t="shared" si="117"/>
        <v>8388.004779857416</v>
      </c>
      <c r="AD669" s="47">
        <f t="shared" si="118"/>
        <v>0</v>
      </c>
    </row>
    <row r="670" spans="1:30" x14ac:dyDescent="0.2">
      <c r="A670" s="30" t="s">
        <v>8864</v>
      </c>
      <c r="B670" s="29">
        <v>3</v>
      </c>
      <c r="C670" s="29">
        <v>1</v>
      </c>
      <c r="D670" s="29">
        <v>512</v>
      </c>
      <c r="E670" s="29">
        <v>54533</v>
      </c>
      <c r="F670" s="29">
        <v>19122</v>
      </c>
      <c r="G670" s="29">
        <v>18973</v>
      </c>
      <c r="H670" s="29">
        <v>290763</v>
      </c>
      <c r="I670" s="29">
        <v>12109</v>
      </c>
      <c r="J670" s="29">
        <v>745807104</v>
      </c>
      <c r="K670" s="29">
        <v>5652</v>
      </c>
      <c r="L670" s="29">
        <v>10901</v>
      </c>
      <c r="N670" s="34"/>
      <c r="O670" s="29">
        <f t="shared" si="109"/>
        <v>8276.5</v>
      </c>
      <c r="P670" s="32" cm="1">
        <f t="array" ref="P670">WPNFACTOR(C670)</f>
        <v>2</v>
      </c>
      <c r="Q670" s="34" cm="1">
        <f t="array" ref="Q670">HPFACTOr(C670)</f>
        <v>5</v>
      </c>
      <c r="R670" s="33">
        <f t="shared" si="110"/>
        <v>4138.25</v>
      </c>
      <c r="S670" s="34">
        <f t="shared" si="111"/>
        <v>149161420.80000001</v>
      </c>
      <c r="T670" s="33">
        <f t="shared" si="112"/>
        <v>4138.25</v>
      </c>
      <c r="U670" s="42">
        <f t="shared" si="113"/>
        <v>149161420.80000001</v>
      </c>
      <c r="V670" s="44"/>
      <c r="W670" s="29">
        <f t="shared" si="119"/>
        <v>617267249625.6001</v>
      </c>
      <c r="X670" s="41">
        <f t="shared" si="114"/>
        <v>39.167104292021044</v>
      </c>
      <c r="Y670" s="33">
        <f t="shared" si="115"/>
        <v>886.37665402495281</v>
      </c>
      <c r="Z670" s="33">
        <v>0.8</v>
      </c>
      <c r="AA670" s="29">
        <f t="shared" si="116"/>
        <v>709.1013232199623</v>
      </c>
      <c r="AB670" s="48">
        <f t="shared" si="117"/>
        <v>8514.4724593599713</v>
      </c>
      <c r="AD670" s="47">
        <f t="shared" si="118"/>
        <v>0</v>
      </c>
    </row>
    <row r="671" spans="1:30" x14ac:dyDescent="0.2">
      <c r="A671" s="30" t="s">
        <v>8864</v>
      </c>
      <c r="B671" s="29">
        <v>4</v>
      </c>
      <c r="C671" s="29">
        <v>3</v>
      </c>
      <c r="D671" s="29">
        <v>516</v>
      </c>
      <c r="E671" s="29">
        <v>13838</v>
      </c>
      <c r="F671" s="29">
        <v>55118</v>
      </c>
      <c r="G671" s="29">
        <v>13779</v>
      </c>
      <c r="H671" s="29">
        <v>294118</v>
      </c>
      <c r="I671" s="29">
        <v>19707</v>
      </c>
      <c r="J671" s="29">
        <v>608236032</v>
      </c>
      <c r="K671" s="29">
        <v>6901</v>
      </c>
      <c r="L671" s="29">
        <v>13768</v>
      </c>
      <c r="N671" s="34"/>
      <c r="O671" s="29">
        <f t="shared" si="109"/>
        <v>10334.5</v>
      </c>
      <c r="P671" s="32" cm="1">
        <f t="array" ref="P671">WPNFACTOR(C671)</f>
        <v>2.5</v>
      </c>
      <c r="Q671" s="34" cm="1">
        <f t="array" ref="Q671">HPFACTOr(C671)</f>
        <v>4</v>
      </c>
      <c r="R671" s="33">
        <f t="shared" si="110"/>
        <v>4133.8</v>
      </c>
      <c r="S671" s="34">
        <f t="shared" si="111"/>
        <v>152059008</v>
      </c>
      <c r="T671" s="33">
        <f t="shared" si="112"/>
        <v>4133.8</v>
      </c>
      <c r="U671" s="42">
        <f t="shared" si="113"/>
        <v>152059008</v>
      </c>
      <c r="V671" s="44"/>
      <c r="W671" s="29">
        <f t="shared" si="119"/>
        <v>628581527270.40002</v>
      </c>
      <c r="X671" s="41">
        <f t="shared" si="114"/>
        <v>39.193308918654601</v>
      </c>
      <c r="Y671" s="33">
        <f t="shared" si="115"/>
        <v>890.41076810305447</v>
      </c>
      <c r="Z671" s="33">
        <v>0.8</v>
      </c>
      <c r="AA671" s="29">
        <f t="shared" si="116"/>
        <v>712.32861448244364</v>
      </c>
      <c r="AB671" s="48">
        <f t="shared" si="117"/>
        <v>8566.1801712992947</v>
      </c>
      <c r="AD671" s="47">
        <f t="shared" si="118"/>
        <v>0</v>
      </c>
    </row>
    <row r="672" spans="1:30" x14ac:dyDescent="0.2">
      <c r="A672" s="30" t="s">
        <v>8864</v>
      </c>
      <c r="B672" s="29">
        <v>5</v>
      </c>
      <c r="C672" s="29">
        <v>1</v>
      </c>
      <c r="D672" s="29">
        <v>520</v>
      </c>
      <c r="E672" s="29">
        <v>66837</v>
      </c>
      <c r="F672" s="29">
        <v>23434</v>
      </c>
      <c r="G672" s="29">
        <v>23261</v>
      </c>
      <c r="H672" s="29">
        <v>356928</v>
      </c>
      <c r="I672" s="29">
        <v>14768</v>
      </c>
      <c r="J672" s="29">
        <v>929797440</v>
      </c>
      <c r="K672" s="29">
        <v>5563</v>
      </c>
      <c r="L672" s="29">
        <v>11110</v>
      </c>
      <c r="N672" s="34"/>
      <c r="O672" s="29">
        <f t="shared" si="109"/>
        <v>8336.5</v>
      </c>
      <c r="P672" s="32" cm="1">
        <f t="array" ref="P672">WPNFACTOR(C672)</f>
        <v>2</v>
      </c>
      <c r="Q672" s="34" cm="1">
        <f t="array" ref="Q672">HPFACTOr(C672)</f>
        <v>5</v>
      </c>
      <c r="R672" s="33">
        <f t="shared" si="110"/>
        <v>4168.25</v>
      </c>
      <c r="S672" s="34">
        <f t="shared" si="111"/>
        <v>185959488</v>
      </c>
      <c r="T672" s="33">
        <f t="shared" si="112"/>
        <v>4168.25</v>
      </c>
      <c r="U672" s="42">
        <f t="shared" si="113"/>
        <v>185959488</v>
      </c>
      <c r="V672" s="44"/>
      <c r="W672" s="29">
        <f t="shared" si="119"/>
        <v>775125635856</v>
      </c>
      <c r="X672" s="41">
        <f t="shared" si="114"/>
        <v>39.49563921161414</v>
      </c>
      <c r="Y672" s="33">
        <f t="shared" si="115"/>
        <v>938.30282774938701</v>
      </c>
      <c r="Z672" s="33">
        <v>0.8</v>
      </c>
      <c r="AA672" s="29">
        <f t="shared" si="116"/>
        <v>750.64226219950967</v>
      </c>
      <c r="AB672" s="48">
        <f t="shared" si="117"/>
        <v>9185.9490768947053</v>
      </c>
      <c r="AD672" s="47">
        <f t="shared" si="118"/>
        <v>0</v>
      </c>
    </row>
    <row r="673" spans="1:30" x14ac:dyDescent="0.2">
      <c r="A673" s="30" t="s">
        <v>8864</v>
      </c>
      <c r="B673" s="29">
        <v>6</v>
      </c>
      <c r="C673" s="29">
        <v>1</v>
      </c>
      <c r="D673" s="29">
        <v>524</v>
      </c>
      <c r="E673" s="29">
        <v>67527</v>
      </c>
      <c r="F673" s="29">
        <v>23675</v>
      </c>
      <c r="G673" s="29">
        <v>23504</v>
      </c>
      <c r="H673" s="29">
        <v>360872</v>
      </c>
      <c r="I673" s="29">
        <v>14886</v>
      </c>
      <c r="J673" s="29">
        <v>947289024</v>
      </c>
      <c r="K673" s="29">
        <v>5860</v>
      </c>
      <c r="L673" s="29">
        <v>10685</v>
      </c>
      <c r="N673" s="34"/>
      <c r="O673" s="29">
        <f t="shared" si="109"/>
        <v>8272.5</v>
      </c>
      <c r="P673" s="32" cm="1">
        <f t="array" ref="P673">WPNFACTOR(C673)</f>
        <v>2</v>
      </c>
      <c r="Q673" s="34" cm="1">
        <f t="array" ref="Q673">HPFACTOr(C673)</f>
        <v>5</v>
      </c>
      <c r="R673" s="33">
        <f t="shared" si="110"/>
        <v>4136.25</v>
      </c>
      <c r="S673" s="34">
        <f t="shared" si="111"/>
        <v>189457804.80000001</v>
      </c>
      <c r="T673" s="33">
        <f t="shared" si="112"/>
        <v>4136.25</v>
      </c>
      <c r="U673" s="42">
        <f t="shared" si="113"/>
        <v>189457804.79999998</v>
      </c>
      <c r="V673" s="44"/>
      <c r="W673" s="29">
        <f t="shared" si="119"/>
        <v>783644845103.99988</v>
      </c>
      <c r="X673" s="41">
        <f t="shared" si="114"/>
        <v>39.511409003844676</v>
      </c>
      <c r="Y673" s="33">
        <f t="shared" si="115"/>
        <v>940.87043148597195</v>
      </c>
      <c r="Z673" s="33">
        <v>0.8</v>
      </c>
      <c r="AA673" s="29">
        <f t="shared" si="116"/>
        <v>752.69634518877763</v>
      </c>
      <c r="AB673" s="48">
        <f t="shared" si="117"/>
        <v>9219.4800107016254</v>
      </c>
      <c r="AD673" s="47">
        <f t="shared" si="118"/>
        <v>0</v>
      </c>
    </row>
    <row r="674" spans="1:30" x14ac:dyDescent="0.2">
      <c r="A674" s="30" t="s">
        <v>8864</v>
      </c>
      <c r="B674" s="29">
        <v>7</v>
      </c>
      <c r="C674" s="29">
        <v>2</v>
      </c>
      <c r="D674" s="29">
        <v>528</v>
      </c>
      <c r="E674" s="29">
        <v>16985</v>
      </c>
      <c r="F674" s="29">
        <v>17120</v>
      </c>
      <c r="G674" s="29">
        <v>68752</v>
      </c>
      <c r="H674" s="29">
        <v>361823</v>
      </c>
      <c r="I674" s="29">
        <v>24319</v>
      </c>
      <c r="J674" s="29">
        <v>382808736</v>
      </c>
      <c r="K674" s="29">
        <v>14601</v>
      </c>
      <c r="L674" s="29">
        <v>23926</v>
      </c>
      <c r="N674" s="34"/>
      <c r="O674" s="29">
        <f t="shared" si="109"/>
        <v>19263.5</v>
      </c>
      <c r="P674" s="32" cm="1">
        <f t="array" ref="P674">WPNFACTOR(C674)</f>
        <v>4.5</v>
      </c>
      <c r="Q674" s="34" cm="1">
        <f t="array" ref="Q674">HPFACTOr(C674)</f>
        <v>2</v>
      </c>
      <c r="R674" s="33">
        <f t="shared" si="110"/>
        <v>4280.7777777777774</v>
      </c>
      <c r="S674" s="34">
        <f t="shared" si="111"/>
        <v>191404368</v>
      </c>
      <c r="T674" s="33">
        <f t="shared" si="112"/>
        <v>4280.7777777777774</v>
      </c>
      <c r="U674" s="42">
        <f t="shared" si="113"/>
        <v>191404368</v>
      </c>
      <c r="V674" s="44"/>
      <c r="W674" s="29">
        <f t="shared" si="119"/>
        <v>819359565103.99988</v>
      </c>
      <c r="X674" s="41">
        <f t="shared" si="114"/>
        <v>39.575705742213422</v>
      </c>
      <c r="Y674" s="33">
        <f t="shared" si="115"/>
        <v>951.41201575661876</v>
      </c>
      <c r="Z674" s="33">
        <v>0.8</v>
      </c>
      <c r="AA674" s="29">
        <f t="shared" si="116"/>
        <v>761.12961260529505</v>
      </c>
      <c r="AB674" s="48">
        <f t="shared" si="117"/>
        <v>9357.4642374173745</v>
      </c>
      <c r="AD674" s="47">
        <f t="shared" si="118"/>
        <v>0</v>
      </c>
    </row>
    <row r="675" spans="1:30" x14ac:dyDescent="0.2">
      <c r="A675" s="30" t="s">
        <v>8864</v>
      </c>
      <c r="B675" s="29">
        <v>8</v>
      </c>
      <c r="C675" s="29">
        <v>2</v>
      </c>
      <c r="D675" s="29">
        <v>532</v>
      </c>
      <c r="E675" s="29">
        <v>20016</v>
      </c>
      <c r="F675" s="29">
        <v>20171</v>
      </c>
      <c r="G675" s="29">
        <v>80997</v>
      </c>
      <c r="H675" s="29">
        <v>426706</v>
      </c>
      <c r="I675" s="29">
        <v>28643</v>
      </c>
      <c r="J675" s="29">
        <v>454868608</v>
      </c>
      <c r="K675" s="29">
        <v>14576</v>
      </c>
      <c r="L675" s="29">
        <v>24519</v>
      </c>
      <c r="N675" s="34"/>
      <c r="O675" s="29">
        <f t="shared" si="109"/>
        <v>19547.5</v>
      </c>
      <c r="P675" s="32" cm="1">
        <f t="array" ref="P675">WPNFACTOR(C675)</f>
        <v>4.5</v>
      </c>
      <c r="Q675" s="34" cm="1">
        <f t="array" ref="Q675">HPFACTOr(C675)</f>
        <v>2</v>
      </c>
      <c r="R675" s="33">
        <f t="shared" si="110"/>
        <v>4343.8888888888887</v>
      </c>
      <c r="S675" s="34">
        <f t="shared" si="111"/>
        <v>227434304</v>
      </c>
      <c r="T675" s="33">
        <f t="shared" si="112"/>
        <v>4343.8888888888887</v>
      </c>
      <c r="U675" s="42">
        <f t="shared" si="113"/>
        <v>227434304</v>
      </c>
      <c r="V675" s="44"/>
      <c r="W675" s="29">
        <f t="shared" si="119"/>
        <v>987949346097.77771</v>
      </c>
      <c r="X675" s="41">
        <f t="shared" si="114"/>
        <v>39.84564611795259</v>
      </c>
      <c r="Y675" s="33">
        <f t="shared" si="115"/>
        <v>996.97362581075481</v>
      </c>
      <c r="Z675" s="33">
        <v>0.8</v>
      </c>
      <c r="AA675" s="29">
        <f t="shared" si="116"/>
        <v>797.57890064860385</v>
      </c>
      <c r="AB675" s="48">
        <f t="shared" si="117"/>
        <v>9959.6687110504063</v>
      </c>
      <c r="AD675" s="47">
        <f t="shared" si="118"/>
        <v>0</v>
      </c>
    </row>
    <row r="676" spans="1:30" x14ac:dyDescent="0.2">
      <c r="A676" s="30" t="s">
        <v>8864</v>
      </c>
      <c r="B676" s="29">
        <v>9</v>
      </c>
      <c r="C676" s="29">
        <v>1</v>
      </c>
      <c r="D676" s="29">
        <v>536</v>
      </c>
      <c r="E676" s="29">
        <v>81165</v>
      </c>
      <c r="F676" s="29">
        <v>28453</v>
      </c>
      <c r="G676" s="29">
        <v>28262</v>
      </c>
      <c r="H676" s="29">
        <v>434616</v>
      </c>
      <c r="I676" s="29">
        <v>17779</v>
      </c>
      <c r="J676" s="29">
        <v>1166944000</v>
      </c>
      <c r="K676" s="29">
        <v>6172</v>
      </c>
      <c r="L676" s="29">
        <v>11183</v>
      </c>
      <c r="N676" s="34"/>
      <c r="O676" s="29">
        <f t="shared" si="109"/>
        <v>8677.5</v>
      </c>
      <c r="P676" s="32" cm="1">
        <f t="array" ref="P676">WPNFACTOR(C676)</f>
        <v>2</v>
      </c>
      <c r="Q676" s="34" cm="1">
        <f t="array" ref="Q676">HPFACTOr(C676)</f>
        <v>5</v>
      </c>
      <c r="R676" s="33">
        <f t="shared" si="110"/>
        <v>4338.75</v>
      </c>
      <c r="S676" s="34">
        <f t="shared" si="111"/>
        <v>233388800</v>
      </c>
      <c r="T676" s="33">
        <f t="shared" si="112"/>
        <v>4338.75</v>
      </c>
      <c r="U676" s="42">
        <f t="shared" si="113"/>
        <v>233388800</v>
      </c>
      <c r="V676" s="44"/>
      <c r="W676" s="29">
        <f t="shared" si="119"/>
        <v>1012615656000</v>
      </c>
      <c r="X676" s="41">
        <f t="shared" si="114"/>
        <v>39.881223833617</v>
      </c>
      <c r="Y676" s="33">
        <f t="shared" si="115"/>
        <v>1003.1391021001397</v>
      </c>
      <c r="Z676" s="33">
        <v>0.8</v>
      </c>
      <c r="AA676" s="29">
        <f t="shared" si="116"/>
        <v>802.51128168011178</v>
      </c>
      <c r="AB676" s="48">
        <f t="shared" si="117"/>
        <v>10041.87657710643</v>
      </c>
      <c r="AD676" s="47">
        <f t="shared" si="118"/>
        <v>0</v>
      </c>
    </row>
    <row r="677" spans="1:30" x14ac:dyDescent="0.2">
      <c r="A677" s="30" t="s">
        <v>8864</v>
      </c>
      <c r="B677" s="29">
        <v>10</v>
      </c>
      <c r="C677" s="29">
        <v>3</v>
      </c>
      <c r="D677" s="29">
        <v>540</v>
      </c>
      <c r="E677" s="29">
        <v>20563</v>
      </c>
      <c r="F677" s="29">
        <v>81950</v>
      </c>
      <c r="G677" s="29">
        <v>20487</v>
      </c>
      <c r="H677" s="29">
        <v>439082</v>
      </c>
      <c r="I677" s="29">
        <v>29219</v>
      </c>
      <c r="J677" s="29">
        <v>950173440</v>
      </c>
      <c r="K677" s="29">
        <v>7214</v>
      </c>
      <c r="L677" s="29">
        <v>13561</v>
      </c>
      <c r="N677" s="34"/>
      <c r="O677" s="29">
        <f t="shared" si="109"/>
        <v>10387.5</v>
      </c>
      <c r="P677" s="32" cm="1">
        <f t="array" ref="P677">WPNFACTOR(C677)</f>
        <v>2.5</v>
      </c>
      <c r="Q677" s="34" cm="1">
        <f t="array" ref="Q677">HPFACTOr(C677)</f>
        <v>4</v>
      </c>
      <c r="R677" s="33">
        <f t="shared" si="110"/>
        <v>4155</v>
      </c>
      <c r="S677" s="34">
        <f t="shared" si="111"/>
        <v>237543360</v>
      </c>
      <c r="T677" s="33">
        <f t="shared" si="112"/>
        <v>4155</v>
      </c>
      <c r="U677" s="42">
        <f t="shared" si="113"/>
        <v>237543360</v>
      </c>
      <c r="V677" s="44"/>
      <c r="W677" s="29">
        <f t="shared" si="119"/>
        <v>986992660800</v>
      </c>
      <c r="X677" s="41">
        <f t="shared" si="114"/>
        <v>39.844248400715394</v>
      </c>
      <c r="Y677" s="33">
        <f t="shared" si="115"/>
        <v>996.73218211674509</v>
      </c>
      <c r="Z677" s="33">
        <v>0.8</v>
      </c>
      <c r="AA677" s="29">
        <f t="shared" si="116"/>
        <v>797.38574569339607</v>
      </c>
      <c r="AB677" s="48">
        <f t="shared" si="117"/>
        <v>9956.4528424430864</v>
      </c>
      <c r="AD677" s="47">
        <f t="shared" si="118"/>
        <v>0</v>
      </c>
    </row>
    <row r="678" spans="1:30" x14ac:dyDescent="0.2">
      <c r="A678" s="30" t="s">
        <v>8865</v>
      </c>
      <c r="B678" s="29">
        <v>1</v>
      </c>
      <c r="C678" s="29">
        <v>2</v>
      </c>
      <c r="D678" s="29">
        <v>510</v>
      </c>
      <c r="E678" s="29">
        <v>19326</v>
      </c>
      <c r="F678" s="29">
        <v>19326</v>
      </c>
      <c r="G678" s="29">
        <v>99462</v>
      </c>
      <c r="H678" s="29">
        <v>278055</v>
      </c>
      <c r="I678" s="29">
        <v>53784</v>
      </c>
      <c r="J678" s="29">
        <v>483444928</v>
      </c>
      <c r="K678" s="29">
        <v>2152</v>
      </c>
      <c r="L678" s="29">
        <v>6080</v>
      </c>
      <c r="N678" s="34"/>
      <c r="O678" s="29">
        <f t="shared" si="109"/>
        <v>4116</v>
      </c>
      <c r="P678" s="32" cm="1">
        <f t="array" ref="P678">WPNFACTOR(C678)</f>
        <v>4.5</v>
      </c>
      <c r="Q678" s="34" cm="1">
        <f t="array" ref="Q678">HPFACTOr(C678)</f>
        <v>2</v>
      </c>
      <c r="R678" s="33">
        <f t="shared" si="110"/>
        <v>914.66666666666663</v>
      </c>
      <c r="S678" s="34">
        <f t="shared" si="111"/>
        <v>241722464</v>
      </c>
      <c r="T678" s="33">
        <f t="shared" si="112"/>
        <v>914.66666666666663</v>
      </c>
      <c r="U678" s="42">
        <f t="shared" si="113"/>
        <v>241722464</v>
      </c>
      <c r="V678" s="44"/>
      <c r="W678" s="29">
        <f t="shared" si="119"/>
        <v>221095480405.33331</v>
      </c>
      <c r="X678" s="41">
        <f t="shared" si="114"/>
        <v>37.685878577899949</v>
      </c>
      <c r="Y678" s="33">
        <f t="shared" si="115"/>
        <v>685.71707860564993</v>
      </c>
      <c r="Z678" s="33">
        <v>0.8</v>
      </c>
      <c r="AA678" s="29">
        <f t="shared" si="116"/>
        <v>548.57366288451999</v>
      </c>
      <c r="AB678" s="48">
        <f t="shared" si="117"/>
        <v>6046.8141631784902</v>
      </c>
      <c r="AD678" s="47">
        <f t="shared" si="118"/>
        <v>0</v>
      </c>
    </row>
    <row r="679" spans="1:30" x14ac:dyDescent="0.2">
      <c r="A679" s="30" t="s">
        <v>8865</v>
      </c>
      <c r="B679" s="29">
        <v>2</v>
      </c>
      <c r="C679" s="29">
        <v>2</v>
      </c>
      <c r="D679" s="29">
        <v>520</v>
      </c>
      <c r="E679" s="29">
        <v>36768</v>
      </c>
      <c r="F679" s="29">
        <v>36342</v>
      </c>
      <c r="G679" s="29">
        <v>102168</v>
      </c>
      <c r="H679" s="29">
        <v>345127</v>
      </c>
      <c r="I679" s="29">
        <v>65430</v>
      </c>
      <c r="J679" s="29">
        <v>622523712</v>
      </c>
      <c r="K679" s="29">
        <v>3234</v>
      </c>
      <c r="L679" s="29">
        <v>5251</v>
      </c>
      <c r="N679" s="34"/>
      <c r="O679" s="29">
        <f t="shared" si="109"/>
        <v>4242.5</v>
      </c>
      <c r="P679" s="32" cm="1">
        <f t="array" ref="P679">WPNFACTOR(C679)</f>
        <v>4.5</v>
      </c>
      <c r="Q679" s="34" cm="1">
        <f t="array" ref="Q679">HPFACTOr(C679)</f>
        <v>2</v>
      </c>
      <c r="R679" s="33">
        <f t="shared" si="110"/>
        <v>942.77777777777783</v>
      </c>
      <c r="S679" s="34">
        <f t="shared" si="111"/>
        <v>311261856</v>
      </c>
      <c r="T679" s="33">
        <f t="shared" si="112"/>
        <v>942.77777777777783</v>
      </c>
      <c r="U679" s="42">
        <f t="shared" si="113"/>
        <v>311261856</v>
      </c>
      <c r="V679" s="44"/>
      <c r="W679" s="29">
        <f t="shared" si="119"/>
        <v>293450760906.66669</v>
      </c>
      <c r="X679" s="41">
        <f t="shared" si="114"/>
        <v>38.094327492734458</v>
      </c>
      <c r="Y679" s="33">
        <f t="shared" si="115"/>
        <v>736.01016091824761</v>
      </c>
      <c r="Z679" s="33">
        <v>0.8</v>
      </c>
      <c r="AA679" s="29">
        <f t="shared" si="116"/>
        <v>588.80812873459809</v>
      </c>
      <c r="AB679" s="48">
        <f t="shared" si="117"/>
        <v>6645.2564653440932</v>
      </c>
      <c r="AD679" s="47">
        <f t="shared" si="118"/>
        <v>0</v>
      </c>
    </row>
    <row r="680" spans="1:30" x14ac:dyDescent="0.2">
      <c r="A680" s="30" t="s">
        <v>8865</v>
      </c>
      <c r="B680" s="29">
        <v>3</v>
      </c>
      <c r="C680" s="29">
        <v>2</v>
      </c>
      <c r="D680" s="29">
        <v>530</v>
      </c>
      <c r="E680" s="29">
        <v>30906</v>
      </c>
      <c r="F680" s="29">
        <v>31422</v>
      </c>
      <c r="G680" s="29">
        <v>111318</v>
      </c>
      <c r="H680" s="29">
        <v>359460</v>
      </c>
      <c r="I680" s="29">
        <v>72780</v>
      </c>
      <c r="J680" s="29">
        <v>676144192</v>
      </c>
      <c r="K680" s="29">
        <v>2481</v>
      </c>
      <c r="L680" s="29">
        <v>6267</v>
      </c>
      <c r="N680" s="34"/>
      <c r="O680" s="29">
        <f t="shared" ref="O680:O707" si="120">AVERAGE(K680, L680)</f>
        <v>4374</v>
      </c>
      <c r="P680" s="32" cm="1">
        <f t="array" ref="P680">WPNFACTOR(C680)</f>
        <v>4.5</v>
      </c>
      <c r="Q680" s="34" cm="1">
        <f t="array" ref="Q680">HPFACTOr(C680)</f>
        <v>2</v>
      </c>
      <c r="R680" s="33">
        <f t="shared" ref="R680:R707" si="121">O680/P680</f>
        <v>972</v>
      </c>
      <c r="S680" s="34">
        <f t="shared" ref="S680:S707" si="122">J680/Q680</f>
        <v>338072096</v>
      </c>
      <c r="T680" s="33">
        <f t="shared" ref="T680:T707" si="123">R680*(1 + (N680/400))</f>
        <v>972</v>
      </c>
      <c r="U680" s="42">
        <f t="shared" ref="U680:U707" si="124">S680*1.6/(1 + (0.6*(1 - (M680/100))))</f>
        <v>338072096</v>
      </c>
      <c r="V680" s="44"/>
      <c r="W680" s="29">
        <f t="shared" si="119"/>
        <v>328606077312</v>
      </c>
      <c r="X680" s="41">
        <f t="shared" ref="X680:X743" si="125">LOG(W680, 2)</f>
        <v>38.257568205810408</v>
      </c>
      <c r="Y680" s="33">
        <f t="shared" si="115"/>
        <v>757.12728571325783</v>
      </c>
      <c r="Z680" s="33">
        <v>0.8</v>
      </c>
      <c r="AA680" s="29">
        <f t="shared" si="116"/>
        <v>605.70182857060627</v>
      </c>
      <c r="AB680" s="48">
        <f t="shared" si="117"/>
        <v>6900.6796033828214</v>
      </c>
      <c r="AD680" s="47">
        <f t="shared" si="118"/>
        <v>0</v>
      </c>
    </row>
    <row r="681" spans="1:30" x14ac:dyDescent="0.2">
      <c r="A681" s="30" t="s">
        <v>8865</v>
      </c>
      <c r="B681" s="29">
        <v>4</v>
      </c>
      <c r="C681" s="29">
        <v>3</v>
      </c>
      <c r="D681" s="29">
        <v>540</v>
      </c>
      <c r="E681" s="29">
        <v>35250</v>
      </c>
      <c r="F681" s="29">
        <v>121020</v>
      </c>
      <c r="G681" s="29">
        <v>35220</v>
      </c>
      <c r="H681" s="29">
        <v>325350</v>
      </c>
      <c r="I681" s="29">
        <v>55920</v>
      </c>
      <c r="J681" s="29">
        <v>1264800000</v>
      </c>
      <c r="K681" s="29">
        <v>1350</v>
      </c>
      <c r="L681" s="29">
        <v>3599</v>
      </c>
      <c r="N681" s="34"/>
      <c r="O681" s="29">
        <f t="shared" si="120"/>
        <v>2474.5</v>
      </c>
      <c r="P681" s="32" cm="1">
        <f t="array" ref="P681">WPNFACTOR(C681)</f>
        <v>2.5</v>
      </c>
      <c r="Q681" s="34" cm="1">
        <f t="array" ref="Q681">HPFACTOr(C681)</f>
        <v>4</v>
      </c>
      <c r="R681" s="33">
        <f t="shared" si="121"/>
        <v>989.8</v>
      </c>
      <c r="S681" s="34">
        <f t="shared" si="122"/>
        <v>316200000</v>
      </c>
      <c r="T681" s="33">
        <f t="shared" si="123"/>
        <v>989.8</v>
      </c>
      <c r="U681" s="42">
        <f t="shared" si="124"/>
        <v>316200000</v>
      </c>
      <c r="V681" s="44"/>
      <c r="W681" s="29">
        <f t="shared" si="119"/>
        <v>312974760000</v>
      </c>
      <c r="X681" s="41">
        <f t="shared" si="125"/>
        <v>38.187255358774827</v>
      </c>
      <c r="Y681" s="33">
        <f t="shared" ref="Y681:Y707" si="126">POWER(W681, 1/4)</f>
        <v>747.95820168612124</v>
      </c>
      <c r="Z681" s="33">
        <v>0.8</v>
      </c>
      <c r="AA681" s="29">
        <f t="shared" ref="AA681:AA707" si="127">Y681*Z681</f>
        <v>598.36656134889699</v>
      </c>
      <c r="AB681" s="48">
        <f t="shared" ref="AB681:AB707" si="128">POWER(W681, 1/$AB$1)</f>
        <v>6789.4788277487296</v>
      </c>
      <c r="AD681" s="47">
        <f t="shared" ref="AD681:AD707" si="129">IF(AC681 = "", ,AC681/AB681)</f>
        <v>0</v>
      </c>
    </row>
    <row r="682" spans="1:30" x14ac:dyDescent="0.2">
      <c r="A682" s="30" t="s">
        <v>8865</v>
      </c>
      <c r="B682" s="29">
        <v>5</v>
      </c>
      <c r="C682" s="29">
        <v>2</v>
      </c>
      <c r="D682" s="29">
        <v>550</v>
      </c>
      <c r="E682" s="29">
        <v>33900</v>
      </c>
      <c r="F682" s="29">
        <v>34464</v>
      </c>
      <c r="G682" s="29">
        <v>119256</v>
      </c>
      <c r="H682" s="29">
        <v>389340</v>
      </c>
      <c r="I682" s="29">
        <v>75114</v>
      </c>
      <c r="J682" s="29">
        <v>785428544</v>
      </c>
      <c r="K682" s="29">
        <v>3892</v>
      </c>
      <c r="L682" s="29">
        <v>5330</v>
      </c>
      <c r="N682" s="34"/>
      <c r="O682" s="29">
        <f t="shared" si="120"/>
        <v>4611</v>
      </c>
      <c r="P682" s="32" cm="1">
        <f t="array" ref="P682">WPNFACTOR(C682)</f>
        <v>4.5</v>
      </c>
      <c r="Q682" s="34" cm="1">
        <f t="array" ref="Q682">HPFACTOr(C682)</f>
        <v>2</v>
      </c>
      <c r="R682" s="33">
        <f t="shared" si="121"/>
        <v>1024.6666666666667</v>
      </c>
      <c r="S682" s="34">
        <f t="shared" si="122"/>
        <v>392714272</v>
      </c>
      <c r="T682" s="33">
        <f t="shared" si="123"/>
        <v>1024.6666666666667</v>
      </c>
      <c r="U682" s="42">
        <f t="shared" si="124"/>
        <v>392714272</v>
      </c>
      <c r="V682" s="44"/>
      <c r="W682" s="29">
        <f t="shared" si="119"/>
        <v>402401224042.66669</v>
      </c>
      <c r="X682" s="41">
        <f t="shared" si="125"/>
        <v>38.549843737367645</v>
      </c>
      <c r="Y682" s="33">
        <f t="shared" si="126"/>
        <v>796.46156585615381</v>
      </c>
      <c r="Z682" s="33">
        <v>0.8</v>
      </c>
      <c r="AA682" s="29">
        <f t="shared" si="127"/>
        <v>637.16925268492309</v>
      </c>
      <c r="AB682" s="48">
        <f t="shared" si="128"/>
        <v>7382.7772346383499</v>
      </c>
      <c r="AD682" s="47">
        <f t="shared" si="129"/>
        <v>0</v>
      </c>
    </row>
    <row r="683" spans="1:30" x14ac:dyDescent="0.2">
      <c r="A683" s="30" t="s">
        <v>8865</v>
      </c>
      <c r="B683" s="29">
        <v>6</v>
      </c>
      <c r="C683" s="29">
        <v>1</v>
      </c>
      <c r="D683" s="29">
        <v>560</v>
      </c>
      <c r="E683" s="29">
        <v>224978</v>
      </c>
      <c r="F683" s="29">
        <v>55368</v>
      </c>
      <c r="G683" s="29">
        <v>54462</v>
      </c>
      <c r="H683" s="29">
        <v>433845</v>
      </c>
      <c r="I683" s="29">
        <v>80154</v>
      </c>
      <c r="J683" s="29">
        <v>1196667008</v>
      </c>
      <c r="K683" s="29">
        <v>1226</v>
      </c>
      <c r="L683" s="29">
        <v>2952</v>
      </c>
      <c r="N683" s="34"/>
      <c r="O683" s="29">
        <f t="shared" si="120"/>
        <v>2089</v>
      </c>
      <c r="P683" s="32" cm="1">
        <f t="array" ref="P683">WPNFACTOR(C683)</f>
        <v>2</v>
      </c>
      <c r="Q683" s="34" cm="1">
        <f t="array" ref="Q683">HPFACTOr(C683)</f>
        <v>5</v>
      </c>
      <c r="R683" s="33">
        <f t="shared" si="121"/>
        <v>1044.5</v>
      </c>
      <c r="S683" s="34">
        <f t="shared" si="122"/>
        <v>239333401.59999999</v>
      </c>
      <c r="T683" s="33">
        <f t="shared" si="123"/>
        <v>1044.5</v>
      </c>
      <c r="U683" s="42">
        <f t="shared" si="124"/>
        <v>239333401.59999999</v>
      </c>
      <c r="V683" s="44"/>
      <c r="W683" s="29">
        <f t="shared" si="119"/>
        <v>249983737971.19998</v>
      </c>
      <c r="X683" s="41">
        <f t="shared" si="125"/>
        <v>37.863043291002789</v>
      </c>
      <c r="Y683" s="33">
        <f t="shared" si="126"/>
        <v>707.09528191520121</v>
      </c>
      <c r="Z683" s="33">
        <v>0.8</v>
      </c>
      <c r="AA683" s="29">
        <f t="shared" si="127"/>
        <v>565.67622553216097</v>
      </c>
      <c r="AB683" s="48">
        <f t="shared" si="128"/>
        <v>6299.4686540299035</v>
      </c>
      <c r="AD683" s="47">
        <f t="shared" si="129"/>
        <v>0</v>
      </c>
    </row>
    <row r="684" spans="1:30" x14ac:dyDescent="0.2">
      <c r="A684" s="30" t="s">
        <v>8865</v>
      </c>
      <c r="B684" s="29">
        <v>7</v>
      </c>
      <c r="C684" s="29">
        <v>2</v>
      </c>
      <c r="D684" s="29">
        <v>570</v>
      </c>
      <c r="E684" s="29">
        <v>46638</v>
      </c>
      <c r="F684" s="29">
        <v>46632</v>
      </c>
      <c r="G684" s="29">
        <v>116148</v>
      </c>
      <c r="H684" s="29">
        <v>410917</v>
      </c>
      <c r="I684" s="29">
        <v>79146</v>
      </c>
      <c r="J684" s="29">
        <v>876589696</v>
      </c>
      <c r="K684" s="29">
        <v>3627</v>
      </c>
      <c r="L684" s="29">
        <v>5890</v>
      </c>
      <c r="N684" s="34"/>
      <c r="O684" s="29">
        <f t="shared" si="120"/>
        <v>4758.5</v>
      </c>
      <c r="P684" s="32" cm="1">
        <f t="array" ref="P684">WPNFACTOR(C684)</f>
        <v>4.5</v>
      </c>
      <c r="Q684" s="34" cm="1">
        <f t="array" ref="Q684">HPFACTOr(C684)</f>
        <v>2</v>
      </c>
      <c r="R684" s="33">
        <f t="shared" si="121"/>
        <v>1057.4444444444443</v>
      </c>
      <c r="S684" s="34">
        <f t="shared" si="122"/>
        <v>438294848</v>
      </c>
      <c r="T684" s="33">
        <f t="shared" si="123"/>
        <v>1057.4444444444443</v>
      </c>
      <c r="U684" s="42">
        <f t="shared" si="124"/>
        <v>438294848</v>
      </c>
      <c r="V684" s="44"/>
      <c r="W684" s="29">
        <f t="shared" si="119"/>
        <v>463472452046.22217</v>
      </c>
      <c r="X684" s="41">
        <f t="shared" si="125"/>
        <v>38.753692634008964</v>
      </c>
      <c r="Y684" s="33">
        <f t="shared" si="126"/>
        <v>825.09884921502896</v>
      </c>
      <c r="Z684" s="33">
        <v>0.8</v>
      </c>
      <c r="AA684" s="29">
        <f t="shared" si="127"/>
        <v>660.07907937202322</v>
      </c>
      <c r="AB684" s="48">
        <f t="shared" si="128"/>
        <v>7738.8181555995861</v>
      </c>
      <c r="AD684" s="47">
        <f t="shared" si="129"/>
        <v>0</v>
      </c>
    </row>
    <row r="685" spans="1:30" x14ac:dyDescent="0.2">
      <c r="A685" s="30" t="s">
        <v>8865</v>
      </c>
      <c r="B685" s="29">
        <v>8</v>
      </c>
      <c r="C685" s="29">
        <v>2</v>
      </c>
      <c r="D685" s="29">
        <v>580</v>
      </c>
      <c r="E685" s="29">
        <v>34644</v>
      </c>
      <c r="F685" s="29">
        <v>34650</v>
      </c>
      <c r="G685" s="29">
        <v>147120</v>
      </c>
      <c r="H685" s="29">
        <v>433935</v>
      </c>
      <c r="I685" s="29">
        <v>82506</v>
      </c>
      <c r="J685" s="29">
        <v>943157696</v>
      </c>
      <c r="K685" s="29">
        <v>3980</v>
      </c>
      <c r="L685" s="29">
        <v>5964</v>
      </c>
      <c r="N685" s="34"/>
      <c r="O685" s="29">
        <f t="shared" si="120"/>
        <v>4972</v>
      </c>
      <c r="P685" s="32" cm="1">
        <f t="array" ref="P685">WPNFACTOR(C685)</f>
        <v>4.5</v>
      </c>
      <c r="Q685" s="34" cm="1">
        <f t="array" ref="Q685">HPFACTOr(C685)</f>
        <v>2</v>
      </c>
      <c r="R685" s="33">
        <f t="shared" si="121"/>
        <v>1104.8888888888889</v>
      </c>
      <c r="S685" s="34">
        <f t="shared" si="122"/>
        <v>471578848</v>
      </c>
      <c r="T685" s="33">
        <f t="shared" si="123"/>
        <v>1104.8888888888889</v>
      </c>
      <c r="U685" s="42">
        <f t="shared" si="124"/>
        <v>471578848</v>
      </c>
      <c r="V685" s="44"/>
      <c r="W685" s="29">
        <f t="shared" si="119"/>
        <v>521042229390.22223</v>
      </c>
      <c r="X685" s="41">
        <f t="shared" si="125"/>
        <v>38.922609348439245</v>
      </c>
      <c r="Y685" s="33">
        <f t="shared" si="126"/>
        <v>849.60729128916955</v>
      </c>
      <c r="Z685" s="33">
        <v>0.8</v>
      </c>
      <c r="AA685" s="29">
        <f t="shared" si="127"/>
        <v>679.68583303133573</v>
      </c>
      <c r="AB685" s="48">
        <f t="shared" si="128"/>
        <v>8046.820391538603</v>
      </c>
      <c r="AD685" s="47">
        <f t="shared" si="129"/>
        <v>0</v>
      </c>
    </row>
    <row r="686" spans="1:30" x14ac:dyDescent="0.2">
      <c r="A686" s="30" t="s">
        <v>8865</v>
      </c>
      <c r="B686" s="29">
        <v>9</v>
      </c>
      <c r="C686" s="29">
        <v>3</v>
      </c>
      <c r="D686" s="29">
        <v>590</v>
      </c>
      <c r="E686" s="29">
        <v>45021</v>
      </c>
      <c r="F686" s="29">
        <v>165800</v>
      </c>
      <c r="G686" s="29">
        <v>75600</v>
      </c>
      <c r="H686" s="29">
        <v>44342</v>
      </c>
      <c r="I686" s="29">
        <v>101840</v>
      </c>
      <c r="J686" s="29">
        <v>1545725056</v>
      </c>
      <c r="K686" s="29">
        <v>2120</v>
      </c>
      <c r="L686" s="29">
        <v>5229</v>
      </c>
      <c r="N686" s="34"/>
      <c r="O686" s="29">
        <f t="shared" si="120"/>
        <v>3674.5</v>
      </c>
      <c r="P686" s="32" cm="1">
        <f t="array" ref="P686">WPNFACTOR(C686)</f>
        <v>2.5</v>
      </c>
      <c r="Q686" s="34" cm="1">
        <f t="array" ref="Q686">HPFACTOr(C686)</f>
        <v>4</v>
      </c>
      <c r="R686" s="33">
        <f t="shared" si="121"/>
        <v>1469.8</v>
      </c>
      <c r="S686" s="34">
        <f t="shared" si="122"/>
        <v>386431264</v>
      </c>
      <c r="T686" s="33">
        <f t="shared" si="123"/>
        <v>1469.8</v>
      </c>
      <c r="U686" s="42">
        <f t="shared" si="124"/>
        <v>386431263.99999994</v>
      </c>
      <c r="V686" s="44"/>
      <c r="W686" s="29">
        <f t="shared" si="119"/>
        <v>567976671827.19995</v>
      </c>
      <c r="X686" s="41">
        <f t="shared" si="125"/>
        <v>39.047040719740316</v>
      </c>
      <c r="Y686" s="33">
        <f t="shared" si="126"/>
        <v>868.1257227280239</v>
      </c>
      <c r="Z686" s="33">
        <v>0.8</v>
      </c>
      <c r="AA686" s="29">
        <f t="shared" si="127"/>
        <v>694.50057818241919</v>
      </c>
      <c r="AB686" s="48">
        <f t="shared" si="128"/>
        <v>8281.5221196972561</v>
      </c>
      <c r="AD686" s="47">
        <f t="shared" si="129"/>
        <v>0</v>
      </c>
    </row>
    <row r="687" spans="1:30" x14ac:dyDescent="0.2">
      <c r="A687" s="30" t="s">
        <v>8865</v>
      </c>
      <c r="B687" s="29">
        <v>10</v>
      </c>
      <c r="C687" s="29">
        <v>2</v>
      </c>
      <c r="D687" s="29">
        <v>600</v>
      </c>
      <c r="E687" s="29">
        <v>50682</v>
      </c>
      <c r="F687" s="29">
        <v>50268</v>
      </c>
      <c r="G687" s="29">
        <v>183510</v>
      </c>
      <c r="H687" s="29">
        <v>569115</v>
      </c>
      <c r="I687" s="29">
        <v>110250</v>
      </c>
      <c r="J687" s="29">
        <v>1427435264</v>
      </c>
      <c r="K687" s="29">
        <v>4776</v>
      </c>
      <c r="L687" s="29">
        <v>7369</v>
      </c>
      <c r="N687" s="34"/>
      <c r="O687" s="29">
        <f t="shared" si="120"/>
        <v>6072.5</v>
      </c>
      <c r="P687" s="32" cm="1">
        <f t="array" ref="P687">WPNFACTOR(C687)</f>
        <v>4.5</v>
      </c>
      <c r="Q687" s="34" cm="1">
        <f t="array" ref="Q687">HPFACTOr(C687)</f>
        <v>2</v>
      </c>
      <c r="R687" s="33">
        <f t="shared" si="121"/>
        <v>1349.4444444444443</v>
      </c>
      <c r="S687" s="34">
        <f t="shared" si="122"/>
        <v>713717632</v>
      </c>
      <c r="T687" s="33">
        <f t="shared" si="123"/>
        <v>1349.4444444444443</v>
      </c>
      <c r="U687" s="42">
        <f t="shared" si="124"/>
        <v>713717632</v>
      </c>
      <c r="V687" s="44"/>
      <c r="W687" s="29">
        <f t="shared" si="119"/>
        <v>963122293404.44434</v>
      </c>
      <c r="X687" s="41">
        <f t="shared" si="125"/>
        <v>39.808928041088635</v>
      </c>
      <c r="Y687" s="33">
        <f t="shared" si="126"/>
        <v>990.65026238192445</v>
      </c>
      <c r="Z687" s="33">
        <v>0.8</v>
      </c>
      <c r="AA687" s="29">
        <f t="shared" si="127"/>
        <v>792.52020990553956</v>
      </c>
      <c r="AB687" s="48">
        <f t="shared" si="128"/>
        <v>9875.5314982787459</v>
      </c>
      <c r="AD687" s="47">
        <f t="shared" si="129"/>
        <v>0</v>
      </c>
    </row>
    <row r="688" spans="1:30" x14ac:dyDescent="0.2">
      <c r="A688" s="30" t="s">
        <v>8866</v>
      </c>
      <c r="B688" s="29">
        <v>1</v>
      </c>
      <c r="C688" s="29">
        <v>5</v>
      </c>
      <c r="D688" s="29">
        <v>546</v>
      </c>
      <c r="E688" s="29">
        <v>106424</v>
      </c>
      <c r="F688" s="29">
        <v>20679</v>
      </c>
      <c r="G688" s="29">
        <v>20679</v>
      </c>
      <c r="H688" s="29">
        <v>347519</v>
      </c>
      <c r="I688" s="29">
        <v>57549</v>
      </c>
      <c r="J688" s="29">
        <v>950464448</v>
      </c>
      <c r="K688" s="29">
        <v>1870</v>
      </c>
      <c r="L688" s="29">
        <v>3141</v>
      </c>
      <c r="N688" s="34"/>
      <c r="O688" s="29">
        <f t="shared" si="120"/>
        <v>2505.5</v>
      </c>
      <c r="P688" s="32" cm="1">
        <f t="array" ref="P688">WPNFACTOR(C688)</f>
        <v>2</v>
      </c>
      <c r="Q688" s="34" cm="1">
        <f t="array" ref="Q688">HPFACTOr(C688)</f>
        <v>5</v>
      </c>
      <c r="R688" s="33">
        <f t="shared" si="121"/>
        <v>1252.75</v>
      </c>
      <c r="S688" s="34">
        <f t="shared" si="122"/>
        <v>190092889.59999999</v>
      </c>
      <c r="T688" s="33">
        <f t="shared" si="123"/>
        <v>1252.75</v>
      </c>
      <c r="U688" s="42">
        <f t="shared" si="124"/>
        <v>190092889.59999999</v>
      </c>
      <c r="V688" s="44"/>
      <c r="W688" s="29">
        <f t="shared" si="119"/>
        <v>238138867446.39999</v>
      </c>
      <c r="X688" s="41">
        <f t="shared" si="125"/>
        <v>37.793012150702381</v>
      </c>
      <c r="Y688" s="33">
        <f t="shared" si="126"/>
        <v>698.56620388316162</v>
      </c>
      <c r="Z688" s="33">
        <v>0.8</v>
      </c>
      <c r="AA688" s="29">
        <f t="shared" si="127"/>
        <v>558.85296310652927</v>
      </c>
      <c r="AB688" s="48">
        <f t="shared" si="128"/>
        <v>6198.3594987310889</v>
      </c>
      <c r="AD688" s="47">
        <f t="shared" si="129"/>
        <v>0</v>
      </c>
    </row>
    <row r="689" spans="1:30" x14ac:dyDescent="0.2">
      <c r="A689" s="30" t="s">
        <v>8866</v>
      </c>
      <c r="B689" s="29">
        <v>2</v>
      </c>
      <c r="C689" s="29">
        <v>1</v>
      </c>
      <c r="D689" s="29">
        <v>567</v>
      </c>
      <c r="E689" s="29">
        <v>111363</v>
      </c>
      <c r="F689" s="29">
        <v>39613</v>
      </c>
      <c r="G689" s="29">
        <v>39613</v>
      </c>
      <c r="H689" s="29">
        <v>376189</v>
      </c>
      <c r="I689" s="29">
        <v>71319</v>
      </c>
      <c r="J689" s="29">
        <v>1068376768</v>
      </c>
      <c r="K689" s="29">
        <v>1935</v>
      </c>
      <c r="L689" s="29">
        <v>3264</v>
      </c>
      <c r="N689" s="34"/>
      <c r="O689" s="29">
        <f t="shared" si="120"/>
        <v>2599.5</v>
      </c>
      <c r="P689" s="32" cm="1">
        <f t="array" ref="P689">WPNFACTOR(C689)</f>
        <v>2</v>
      </c>
      <c r="Q689" s="34" cm="1">
        <f t="array" ref="Q689">HPFACTOr(C689)</f>
        <v>5</v>
      </c>
      <c r="R689" s="33">
        <f t="shared" si="121"/>
        <v>1299.75</v>
      </c>
      <c r="S689" s="34">
        <f t="shared" si="122"/>
        <v>213675353.59999999</v>
      </c>
      <c r="T689" s="33">
        <f t="shared" si="123"/>
        <v>1299.75</v>
      </c>
      <c r="U689" s="42">
        <f t="shared" si="124"/>
        <v>213675353.59999999</v>
      </c>
      <c r="V689" s="44"/>
      <c r="W689" s="29">
        <f t="shared" si="119"/>
        <v>277724540841.59998</v>
      </c>
      <c r="X689" s="41">
        <f t="shared" si="125"/>
        <v>38.014863708804562</v>
      </c>
      <c r="Y689" s="33">
        <f t="shared" si="126"/>
        <v>725.94474258200171</v>
      </c>
      <c r="Z689" s="33">
        <v>0.8</v>
      </c>
      <c r="AA689" s="29">
        <f t="shared" si="127"/>
        <v>580.75579406560144</v>
      </c>
      <c r="AB689" s="48">
        <f t="shared" si="128"/>
        <v>6524.3625441987733</v>
      </c>
      <c r="AD689" s="47">
        <f t="shared" si="129"/>
        <v>0</v>
      </c>
    </row>
    <row r="690" spans="1:30" x14ac:dyDescent="0.2">
      <c r="A690" s="30" t="s">
        <v>8866</v>
      </c>
      <c r="B690" s="29">
        <v>3</v>
      </c>
      <c r="C690" s="29">
        <v>4</v>
      </c>
      <c r="D690" s="29">
        <v>588</v>
      </c>
      <c r="E690" s="29">
        <v>34306</v>
      </c>
      <c r="F690" s="29">
        <v>123563</v>
      </c>
      <c r="G690" s="29">
        <v>34306</v>
      </c>
      <c r="H690" s="29">
        <v>399001</v>
      </c>
      <c r="I690" s="29">
        <v>80786</v>
      </c>
      <c r="J690" s="29">
        <v>940046336</v>
      </c>
      <c r="K690" s="29">
        <v>4030</v>
      </c>
      <c r="L690" s="29">
        <v>6764</v>
      </c>
      <c r="N690" s="34"/>
      <c r="O690" s="29">
        <f t="shared" si="120"/>
        <v>5397</v>
      </c>
      <c r="P690" s="32" cm="1">
        <f t="array" ref="P690">WPNFACTOR(C690)</f>
        <v>4</v>
      </c>
      <c r="Q690" s="34" cm="1">
        <f t="array" ref="Q690">HPFACTOr(C690)</f>
        <v>4</v>
      </c>
      <c r="R690" s="33">
        <f t="shared" si="121"/>
        <v>1349.25</v>
      </c>
      <c r="S690" s="34">
        <f t="shared" si="122"/>
        <v>235011584</v>
      </c>
      <c r="T690" s="33">
        <f t="shared" si="123"/>
        <v>1349.25</v>
      </c>
      <c r="U690" s="42">
        <f t="shared" si="124"/>
        <v>235011584</v>
      </c>
      <c r="V690" s="44"/>
      <c r="W690" s="29">
        <f t="shared" si="119"/>
        <v>317089379712</v>
      </c>
      <c r="X690" s="41">
        <f t="shared" si="125"/>
        <v>38.206098601765923</v>
      </c>
      <c r="Y690" s="33">
        <f t="shared" si="126"/>
        <v>750.404490264694</v>
      </c>
      <c r="Z690" s="33">
        <v>0.8</v>
      </c>
      <c r="AA690" s="29">
        <f t="shared" si="127"/>
        <v>600.32359221175523</v>
      </c>
      <c r="AB690" s="48">
        <f t="shared" si="128"/>
        <v>6819.1027141144168</v>
      </c>
      <c r="AD690" s="47">
        <f t="shared" si="129"/>
        <v>0</v>
      </c>
    </row>
    <row r="691" spans="1:30" x14ac:dyDescent="0.2">
      <c r="A691" s="30" t="s">
        <v>8866</v>
      </c>
      <c r="B691" s="29">
        <v>4</v>
      </c>
      <c r="C691" s="29">
        <v>2</v>
      </c>
      <c r="D691" s="29">
        <v>600</v>
      </c>
      <c r="E691" s="29">
        <v>39832</v>
      </c>
      <c r="F691" s="29">
        <v>39832</v>
      </c>
      <c r="G691" s="29">
        <v>136753</v>
      </c>
      <c r="H691" s="29">
        <v>417645</v>
      </c>
      <c r="I691" s="29">
        <v>63190</v>
      </c>
      <c r="J691" s="29">
        <v>502009280</v>
      </c>
      <c r="K691" s="29">
        <v>4609</v>
      </c>
      <c r="L691" s="29">
        <v>7769</v>
      </c>
      <c r="N691" s="34"/>
      <c r="O691" s="29">
        <f t="shared" si="120"/>
        <v>6189</v>
      </c>
      <c r="P691" s="32" cm="1">
        <f t="array" ref="P691">WPNFACTOR(C691)</f>
        <v>4.5</v>
      </c>
      <c r="Q691" s="34" cm="1">
        <f t="array" ref="Q691">HPFACTOr(C691)</f>
        <v>2</v>
      </c>
      <c r="R691" s="33">
        <f t="shared" si="121"/>
        <v>1375.3333333333333</v>
      </c>
      <c r="S691" s="34">
        <f t="shared" si="122"/>
        <v>251004640</v>
      </c>
      <c r="T691" s="33">
        <f t="shared" si="123"/>
        <v>1375.3333333333333</v>
      </c>
      <c r="U691" s="42">
        <f t="shared" si="124"/>
        <v>251004640</v>
      </c>
      <c r="V691" s="44"/>
      <c r="W691" s="29">
        <f t="shared" si="119"/>
        <v>345215048213.33331</v>
      </c>
      <c r="X691" s="41">
        <f t="shared" si="125"/>
        <v>38.328704397934764</v>
      </c>
      <c r="Y691" s="33">
        <f t="shared" si="126"/>
        <v>766.51812692307044</v>
      </c>
      <c r="Z691" s="33">
        <v>0.8</v>
      </c>
      <c r="AA691" s="29">
        <f t="shared" si="127"/>
        <v>613.21450153845637</v>
      </c>
      <c r="AB691" s="48">
        <f t="shared" si="128"/>
        <v>7015.036034591084</v>
      </c>
      <c r="AD691" s="47">
        <f t="shared" si="129"/>
        <v>0</v>
      </c>
    </row>
    <row r="692" spans="1:30" x14ac:dyDescent="0.2">
      <c r="A692" s="30" t="s">
        <v>8866</v>
      </c>
      <c r="B692" s="29">
        <v>5</v>
      </c>
      <c r="C692" s="29">
        <v>1</v>
      </c>
      <c r="D692" s="29">
        <v>612</v>
      </c>
      <c r="E692" s="29">
        <v>137144</v>
      </c>
      <c r="F692" s="29">
        <v>39634</v>
      </c>
      <c r="G692" s="29">
        <v>39634</v>
      </c>
      <c r="H692" s="29">
        <v>447741</v>
      </c>
      <c r="I692" s="29">
        <v>86381</v>
      </c>
      <c r="J692" s="29">
        <v>1372326144</v>
      </c>
      <c r="K692" s="29">
        <v>2084</v>
      </c>
      <c r="L692" s="29">
        <v>3520</v>
      </c>
      <c r="N692" s="34"/>
      <c r="O692" s="29">
        <f t="shared" si="120"/>
        <v>2802</v>
      </c>
      <c r="P692" s="32" cm="1">
        <f t="array" ref="P692">WPNFACTOR(C692)</f>
        <v>2</v>
      </c>
      <c r="Q692" s="34" cm="1">
        <f t="array" ref="Q692">HPFACTOr(C692)</f>
        <v>5</v>
      </c>
      <c r="R692" s="33">
        <f t="shared" si="121"/>
        <v>1401</v>
      </c>
      <c r="S692" s="34">
        <f t="shared" si="122"/>
        <v>274465228.80000001</v>
      </c>
      <c r="T692" s="33">
        <f t="shared" si="123"/>
        <v>1401</v>
      </c>
      <c r="U692" s="42">
        <f t="shared" si="124"/>
        <v>274465228.80000001</v>
      </c>
      <c r="V692" s="44"/>
      <c r="W692" s="29">
        <f t="shared" si="119"/>
        <v>384525785548.79999</v>
      </c>
      <c r="X692" s="41">
        <f t="shared" si="125"/>
        <v>38.484289389506088</v>
      </c>
      <c r="Y692" s="33">
        <f t="shared" si="126"/>
        <v>787.46519393661276</v>
      </c>
      <c r="Z692" s="33">
        <v>0.8</v>
      </c>
      <c r="AA692" s="29">
        <f t="shared" si="127"/>
        <v>629.9721551492903</v>
      </c>
      <c r="AB692" s="48">
        <f t="shared" si="128"/>
        <v>7271.7982741661208</v>
      </c>
      <c r="AD692" s="47">
        <f t="shared" si="129"/>
        <v>0</v>
      </c>
    </row>
    <row r="693" spans="1:30" x14ac:dyDescent="0.2">
      <c r="A693" s="30" t="s">
        <v>8866</v>
      </c>
      <c r="B693" s="29">
        <v>6</v>
      </c>
      <c r="C693" s="29">
        <v>1</v>
      </c>
      <c r="D693" s="29">
        <v>624</v>
      </c>
      <c r="E693" s="29">
        <v>163224</v>
      </c>
      <c r="F693" s="29">
        <v>64781</v>
      </c>
      <c r="G693" s="29">
        <v>63721</v>
      </c>
      <c r="H693" s="29">
        <v>507599</v>
      </c>
      <c r="I693" s="29">
        <v>93780</v>
      </c>
      <c r="J693" s="29">
        <v>1586246912</v>
      </c>
      <c r="K693" s="29">
        <v>2127</v>
      </c>
      <c r="L693" s="29">
        <v>3587</v>
      </c>
      <c r="N693" s="34"/>
      <c r="O693" s="29">
        <f t="shared" si="120"/>
        <v>2857</v>
      </c>
      <c r="P693" s="32" cm="1">
        <f t="array" ref="P693">WPNFACTOR(C693)</f>
        <v>2</v>
      </c>
      <c r="Q693" s="34" cm="1">
        <f t="array" ref="Q693">HPFACTOr(C693)</f>
        <v>5</v>
      </c>
      <c r="R693" s="33">
        <f t="shared" si="121"/>
        <v>1428.5</v>
      </c>
      <c r="S693" s="34">
        <f t="shared" si="122"/>
        <v>317249382.39999998</v>
      </c>
      <c r="T693" s="33">
        <f t="shared" si="123"/>
        <v>1428.5</v>
      </c>
      <c r="U693" s="42">
        <f t="shared" si="124"/>
        <v>317249382.39999998</v>
      </c>
      <c r="V693" s="44"/>
      <c r="W693" s="29">
        <f t="shared" si="119"/>
        <v>453190742758.39996</v>
      </c>
      <c r="X693" s="41">
        <f t="shared" si="125"/>
        <v>38.721327435561626</v>
      </c>
      <c r="Y693" s="33">
        <f t="shared" si="126"/>
        <v>820.48426652539251</v>
      </c>
      <c r="Z693" s="33">
        <v>0.8</v>
      </c>
      <c r="AA693" s="29">
        <f t="shared" si="127"/>
        <v>656.3874132203141</v>
      </c>
      <c r="AB693" s="48">
        <f t="shared" si="128"/>
        <v>7681.1635084724676</v>
      </c>
      <c r="AD693" s="47">
        <f t="shared" si="129"/>
        <v>0</v>
      </c>
    </row>
    <row r="694" spans="1:30" x14ac:dyDescent="0.2">
      <c r="A694" s="30" t="s">
        <v>8866</v>
      </c>
      <c r="B694" s="29">
        <v>7</v>
      </c>
      <c r="C694" s="29">
        <v>3</v>
      </c>
      <c r="D694" s="29">
        <v>636</v>
      </c>
      <c r="E694" s="29">
        <v>55499</v>
      </c>
      <c r="F694" s="29">
        <v>174216</v>
      </c>
      <c r="G694" s="29">
        <v>55499</v>
      </c>
      <c r="H694" s="29">
        <v>538992</v>
      </c>
      <c r="I694" s="29">
        <v>94184</v>
      </c>
      <c r="J694" s="29">
        <v>1373351680</v>
      </c>
      <c r="K694" s="29">
        <v>2722</v>
      </c>
      <c r="L694" s="29">
        <v>4531</v>
      </c>
      <c r="N694" s="34"/>
      <c r="O694" s="29">
        <f t="shared" si="120"/>
        <v>3626.5</v>
      </c>
      <c r="P694" s="32" cm="1">
        <f t="array" ref="P694">WPNFACTOR(C694)</f>
        <v>2.5</v>
      </c>
      <c r="Q694" s="34" cm="1">
        <f t="array" ref="Q694">HPFACTOr(C694)</f>
        <v>4</v>
      </c>
      <c r="R694" s="33">
        <f t="shared" si="121"/>
        <v>1450.6</v>
      </c>
      <c r="S694" s="34">
        <f t="shared" si="122"/>
        <v>343337920</v>
      </c>
      <c r="T694" s="33">
        <f t="shared" si="123"/>
        <v>1450.6</v>
      </c>
      <c r="U694" s="42">
        <f t="shared" si="124"/>
        <v>343337920</v>
      </c>
      <c r="V694" s="44"/>
      <c r="W694" s="29">
        <f t="shared" si="119"/>
        <v>498045986751.99994</v>
      </c>
      <c r="X694" s="41">
        <f t="shared" si="125"/>
        <v>38.857488002512191</v>
      </c>
      <c r="Y694" s="33">
        <f t="shared" si="126"/>
        <v>840.0736471274181</v>
      </c>
      <c r="Z694" s="33">
        <v>0.8</v>
      </c>
      <c r="AA694" s="29">
        <f t="shared" si="127"/>
        <v>672.05891770193455</v>
      </c>
      <c r="AB694" s="48">
        <f t="shared" si="128"/>
        <v>7926.652419429457</v>
      </c>
      <c r="AD694" s="47">
        <f t="shared" si="129"/>
        <v>0</v>
      </c>
    </row>
    <row r="695" spans="1:30" x14ac:dyDescent="0.2">
      <c r="A695" s="30" t="s">
        <v>8866</v>
      </c>
      <c r="B695" s="29">
        <v>8</v>
      </c>
      <c r="C695" s="29">
        <v>5</v>
      </c>
      <c r="D695" s="29">
        <v>648</v>
      </c>
      <c r="E695" s="29">
        <v>182015</v>
      </c>
      <c r="F695" s="29">
        <v>41927</v>
      </c>
      <c r="G695" s="29">
        <v>41927</v>
      </c>
      <c r="H695" s="29">
        <v>575061</v>
      </c>
      <c r="I695" s="29">
        <v>99832</v>
      </c>
      <c r="J695" s="29">
        <v>1866072960</v>
      </c>
      <c r="K695" s="29">
        <v>2212</v>
      </c>
      <c r="L695" s="29">
        <v>3727</v>
      </c>
      <c r="N695" s="34"/>
      <c r="O695" s="29">
        <f t="shared" si="120"/>
        <v>2969.5</v>
      </c>
      <c r="P695" s="32" cm="1">
        <f t="array" ref="P695">WPNFACTOR(C695)</f>
        <v>2</v>
      </c>
      <c r="Q695" s="34" cm="1">
        <f t="array" ref="Q695">HPFACTOr(C695)</f>
        <v>5</v>
      </c>
      <c r="R695" s="33">
        <f t="shared" si="121"/>
        <v>1484.75</v>
      </c>
      <c r="S695" s="34">
        <f t="shared" si="122"/>
        <v>373214592</v>
      </c>
      <c r="T695" s="33">
        <f t="shared" si="123"/>
        <v>1484.75</v>
      </c>
      <c r="U695" s="42">
        <f t="shared" si="124"/>
        <v>373214592</v>
      </c>
      <c r="V695" s="44"/>
      <c r="W695" s="29">
        <f t="shared" si="119"/>
        <v>554130365472</v>
      </c>
      <c r="X695" s="41">
        <f t="shared" si="125"/>
        <v>39.011434470386575</v>
      </c>
      <c r="Y695" s="33">
        <f t="shared" si="126"/>
        <v>862.78579728299417</v>
      </c>
      <c r="Z695" s="33">
        <v>0.8</v>
      </c>
      <c r="AA695" s="29">
        <f t="shared" si="127"/>
        <v>690.22863782639536</v>
      </c>
      <c r="AB695" s="48">
        <f t="shared" si="128"/>
        <v>8213.6712527229956</v>
      </c>
      <c r="AD695" s="47">
        <f t="shared" si="129"/>
        <v>0</v>
      </c>
    </row>
    <row r="696" spans="1:30" x14ac:dyDescent="0.2">
      <c r="A696" s="30" t="s">
        <v>8866</v>
      </c>
      <c r="B696" s="29">
        <v>9</v>
      </c>
      <c r="C696" s="29">
        <v>1</v>
      </c>
      <c r="D696" s="29">
        <v>660</v>
      </c>
      <c r="E696" s="29">
        <v>195334</v>
      </c>
      <c r="F696" s="29">
        <v>50000</v>
      </c>
      <c r="G696" s="29">
        <v>50000</v>
      </c>
      <c r="H696" s="29">
        <v>651487</v>
      </c>
      <c r="I696" s="29">
        <v>117563</v>
      </c>
      <c r="J696" s="29">
        <v>2153164544</v>
      </c>
      <c r="K696" s="29">
        <v>2251</v>
      </c>
      <c r="L696" s="29">
        <v>3798</v>
      </c>
      <c r="N696" s="34"/>
      <c r="O696" s="29">
        <f t="shared" si="120"/>
        <v>3024.5</v>
      </c>
      <c r="P696" s="32" cm="1">
        <f t="array" ref="P696">WPNFACTOR(C696)</f>
        <v>2</v>
      </c>
      <c r="Q696" s="34" cm="1">
        <f t="array" ref="Q696">HPFACTOr(C696)</f>
        <v>5</v>
      </c>
      <c r="R696" s="33">
        <f t="shared" si="121"/>
        <v>1512.25</v>
      </c>
      <c r="S696" s="34">
        <f t="shared" si="122"/>
        <v>430632908.80000001</v>
      </c>
      <c r="T696" s="33">
        <f t="shared" si="123"/>
        <v>1512.25</v>
      </c>
      <c r="U696" s="42">
        <f t="shared" si="124"/>
        <v>430632908.80000001</v>
      </c>
      <c r="V696" s="44"/>
      <c r="W696" s="29">
        <f t="shared" si="119"/>
        <v>651224616332.80005</v>
      </c>
      <c r="X696" s="41">
        <f t="shared" si="125"/>
        <v>39.244364278362127</v>
      </c>
      <c r="Y696" s="33">
        <f t="shared" si="126"/>
        <v>898.32337844347012</v>
      </c>
      <c r="Z696" s="33">
        <v>0.8</v>
      </c>
      <c r="AA696" s="29">
        <f t="shared" si="127"/>
        <v>718.65870275477619</v>
      </c>
      <c r="AB696" s="48">
        <f t="shared" si="128"/>
        <v>8667.8276947168106</v>
      </c>
      <c r="AD696" s="47">
        <f t="shared" si="129"/>
        <v>0</v>
      </c>
    </row>
    <row r="697" spans="1:30" x14ac:dyDescent="0.2">
      <c r="A697" s="30" t="s">
        <v>8866</v>
      </c>
      <c r="B697" s="29">
        <v>10</v>
      </c>
      <c r="C697" s="29">
        <v>1</v>
      </c>
      <c r="D697" s="29">
        <v>666</v>
      </c>
      <c r="E697" s="29">
        <v>229388</v>
      </c>
      <c r="F697" s="29">
        <v>62835</v>
      </c>
      <c r="G697" s="29">
        <v>62835</v>
      </c>
      <c r="H697" s="29">
        <v>711394</v>
      </c>
      <c r="I697" s="29">
        <v>137813</v>
      </c>
      <c r="J697" s="29">
        <v>2372498944</v>
      </c>
      <c r="K697" s="29">
        <v>2268</v>
      </c>
      <c r="L697" s="29">
        <v>3834</v>
      </c>
      <c r="N697" s="34"/>
      <c r="O697" s="29">
        <f t="shared" si="120"/>
        <v>3051</v>
      </c>
      <c r="P697" s="32" cm="1">
        <f t="array" ref="P697">WPNFACTOR(C697)</f>
        <v>2</v>
      </c>
      <c r="Q697" s="34" cm="1">
        <f t="array" ref="Q697">HPFACTOr(C697)</f>
        <v>5</v>
      </c>
      <c r="R697" s="33">
        <f t="shared" si="121"/>
        <v>1525.5</v>
      </c>
      <c r="S697" s="34">
        <f t="shared" si="122"/>
        <v>474499788.80000001</v>
      </c>
      <c r="T697" s="33">
        <f t="shared" si="123"/>
        <v>1525.5</v>
      </c>
      <c r="U697" s="42">
        <f t="shared" si="124"/>
        <v>474499788.80000001</v>
      </c>
      <c r="V697" s="44"/>
      <c r="W697" s="29">
        <f t="shared" si="119"/>
        <v>723849427814.40002</v>
      </c>
      <c r="X697" s="41">
        <f t="shared" si="125"/>
        <v>39.396898668780082</v>
      </c>
      <c r="Y697" s="33">
        <f t="shared" si="126"/>
        <v>922.38463277137885</v>
      </c>
      <c r="Z697" s="33">
        <v>0.8</v>
      </c>
      <c r="AA697" s="29">
        <f t="shared" si="127"/>
        <v>737.90770621710317</v>
      </c>
      <c r="AB697" s="48">
        <f t="shared" si="128"/>
        <v>8978.7541149732624</v>
      </c>
      <c r="AD697" s="47">
        <f t="shared" si="129"/>
        <v>0</v>
      </c>
    </row>
    <row r="698" spans="1:30" x14ac:dyDescent="0.2">
      <c r="A698" s="30" t="s">
        <v>8867</v>
      </c>
      <c r="B698" s="29">
        <v>1</v>
      </c>
      <c r="C698" s="29">
        <v>3</v>
      </c>
      <c r="D698" s="29">
        <v>468</v>
      </c>
      <c r="E698" s="29">
        <v>8140</v>
      </c>
      <c r="F698" s="29">
        <v>23230</v>
      </c>
      <c r="G698" s="29">
        <v>8100</v>
      </c>
      <c r="H698" s="29">
        <v>115210</v>
      </c>
      <c r="I698" s="29">
        <v>4920</v>
      </c>
      <c r="J698" s="29">
        <v>216133952</v>
      </c>
      <c r="K698" s="29">
        <v>7441</v>
      </c>
      <c r="L698" s="29">
        <v>14439</v>
      </c>
      <c r="N698" s="34"/>
      <c r="O698" s="29">
        <f t="shared" si="120"/>
        <v>10940</v>
      </c>
      <c r="P698" s="32" cm="1">
        <f t="array" ref="P698">WPNFACTOR(C698)</f>
        <v>2.5</v>
      </c>
      <c r="Q698" s="34" cm="1">
        <f t="array" ref="Q698">HPFACTOr(C698)</f>
        <v>4</v>
      </c>
      <c r="R698" s="33">
        <f t="shared" si="121"/>
        <v>4376</v>
      </c>
      <c r="S698" s="34">
        <f t="shared" si="122"/>
        <v>54033488</v>
      </c>
      <c r="T698" s="33">
        <f t="shared" si="123"/>
        <v>4376</v>
      </c>
      <c r="U698" s="42">
        <f t="shared" si="124"/>
        <v>54033488.000000007</v>
      </c>
      <c r="V698" s="44"/>
      <c r="W698" s="29">
        <f t="shared" si="119"/>
        <v>236450543488.00003</v>
      </c>
      <c r="X698" s="41">
        <f t="shared" si="125"/>
        <v>37.782747501634276</v>
      </c>
      <c r="Y698" s="33">
        <f t="shared" si="126"/>
        <v>697.32474895121652</v>
      </c>
      <c r="Z698" s="33">
        <v>0.8</v>
      </c>
      <c r="AA698" s="29">
        <f t="shared" si="127"/>
        <v>557.85979916097324</v>
      </c>
      <c r="AB698" s="48">
        <f t="shared" si="128"/>
        <v>6183.6766548532887</v>
      </c>
      <c r="AD698" s="47">
        <f t="shared" si="129"/>
        <v>0</v>
      </c>
    </row>
    <row r="699" spans="1:30" x14ac:dyDescent="0.2">
      <c r="A699" s="30" t="s">
        <v>8867</v>
      </c>
      <c r="B699" s="29">
        <v>2</v>
      </c>
      <c r="C699" s="29">
        <v>1</v>
      </c>
      <c r="D699" s="29">
        <v>476</v>
      </c>
      <c r="E699" s="29">
        <v>27870</v>
      </c>
      <c r="F699" s="29">
        <v>9760</v>
      </c>
      <c r="G699" s="29">
        <v>9720</v>
      </c>
      <c r="H699" s="29">
        <v>126730</v>
      </c>
      <c r="I699" s="29">
        <v>5900</v>
      </c>
      <c r="J699" s="29">
        <v>302251040</v>
      </c>
      <c r="K699" s="29">
        <v>7086</v>
      </c>
      <c r="L699" s="29">
        <v>14148</v>
      </c>
      <c r="N699" s="34"/>
      <c r="O699" s="29">
        <f t="shared" si="120"/>
        <v>10617</v>
      </c>
      <c r="P699" s="32" cm="1">
        <f t="array" ref="P699">WPNFACTOR(C699)</f>
        <v>2</v>
      </c>
      <c r="Q699" s="34" cm="1">
        <f t="array" ref="Q699">HPFACTOr(C699)</f>
        <v>5</v>
      </c>
      <c r="R699" s="33">
        <f t="shared" si="121"/>
        <v>5308.5</v>
      </c>
      <c r="S699" s="34">
        <f t="shared" si="122"/>
        <v>60450208</v>
      </c>
      <c r="T699" s="33">
        <f t="shared" si="123"/>
        <v>5308.5</v>
      </c>
      <c r="U699" s="42">
        <f t="shared" si="124"/>
        <v>60450208.000000007</v>
      </c>
      <c r="V699" s="44"/>
      <c r="W699" s="29">
        <f t="shared" si="119"/>
        <v>320899929168.00006</v>
      </c>
      <c r="X699" s="41">
        <f t="shared" si="125"/>
        <v>38.223332514935755</v>
      </c>
      <c r="Y699" s="33">
        <f t="shared" si="126"/>
        <v>752.64885505218194</v>
      </c>
      <c r="Z699" s="33">
        <v>0.8</v>
      </c>
      <c r="AA699" s="29">
        <f t="shared" si="127"/>
        <v>602.11908404174562</v>
      </c>
      <c r="AB699" s="48">
        <f t="shared" si="128"/>
        <v>6846.3096905213497</v>
      </c>
      <c r="AD699" s="47">
        <f t="shared" si="129"/>
        <v>0</v>
      </c>
    </row>
    <row r="700" spans="1:30" x14ac:dyDescent="0.2">
      <c r="A700" s="30" t="s">
        <v>8867</v>
      </c>
      <c r="B700" s="29">
        <v>3</v>
      </c>
      <c r="C700" s="29">
        <v>2</v>
      </c>
      <c r="D700" s="29">
        <v>484</v>
      </c>
      <c r="E700" s="29">
        <v>11660</v>
      </c>
      <c r="F700" s="29">
        <v>11710</v>
      </c>
      <c r="G700" s="29">
        <v>33440</v>
      </c>
      <c r="H700" s="29">
        <v>139400</v>
      </c>
      <c r="I700" s="29">
        <v>7080</v>
      </c>
      <c r="J700" s="29">
        <v>135218000</v>
      </c>
      <c r="K700" s="29">
        <v>19460</v>
      </c>
      <c r="L700" s="29">
        <v>34885</v>
      </c>
      <c r="N700" s="34"/>
      <c r="O700" s="29">
        <f t="shared" si="120"/>
        <v>27172.5</v>
      </c>
      <c r="P700" s="32" cm="1">
        <f t="array" ref="P700">WPNFACTOR(C700)</f>
        <v>4.5</v>
      </c>
      <c r="Q700" s="34" cm="1">
        <f t="array" ref="Q700">HPFACTOr(C700)</f>
        <v>2</v>
      </c>
      <c r="R700" s="33">
        <f t="shared" si="121"/>
        <v>6038.333333333333</v>
      </c>
      <c r="S700" s="34">
        <f t="shared" si="122"/>
        <v>67609000</v>
      </c>
      <c r="T700" s="33">
        <f t="shared" si="123"/>
        <v>6038.333333333333</v>
      </c>
      <c r="U700" s="42">
        <f t="shared" si="124"/>
        <v>67609000</v>
      </c>
      <c r="V700" s="44"/>
      <c r="W700" s="29">
        <f t="shared" si="119"/>
        <v>408245678333.33331</v>
      </c>
      <c r="X700" s="41">
        <f t="shared" si="125"/>
        <v>38.570646657337136</v>
      </c>
      <c r="Y700" s="33">
        <f t="shared" si="126"/>
        <v>799.33788859305071</v>
      </c>
      <c r="Z700" s="33">
        <v>0.8</v>
      </c>
      <c r="AA700" s="29">
        <f t="shared" si="127"/>
        <v>639.47031087444066</v>
      </c>
      <c r="AB700" s="48">
        <f t="shared" si="128"/>
        <v>7418.3479340163494</v>
      </c>
      <c r="AD700" s="47">
        <f t="shared" si="129"/>
        <v>0</v>
      </c>
    </row>
    <row r="701" spans="1:30" x14ac:dyDescent="0.2">
      <c r="A701" s="30" t="s">
        <v>8867</v>
      </c>
      <c r="B701" s="29">
        <v>4</v>
      </c>
      <c r="C701" s="29">
        <v>1</v>
      </c>
      <c r="D701" s="29">
        <v>492</v>
      </c>
      <c r="E701" s="29">
        <v>40120</v>
      </c>
      <c r="F701" s="29">
        <v>14050</v>
      </c>
      <c r="G701" s="29">
        <v>13990</v>
      </c>
      <c r="H701" s="29">
        <v>153340</v>
      </c>
      <c r="I701" s="29">
        <v>8490</v>
      </c>
      <c r="J701" s="29">
        <v>377983104</v>
      </c>
      <c r="K701" s="29">
        <v>10206</v>
      </c>
      <c r="L701" s="29">
        <v>20378</v>
      </c>
      <c r="N701" s="34"/>
      <c r="O701" s="29">
        <f t="shared" si="120"/>
        <v>15292</v>
      </c>
      <c r="P701" s="32" cm="1">
        <f t="array" ref="P701">WPNFACTOR(C701)</f>
        <v>2</v>
      </c>
      <c r="Q701" s="34" cm="1">
        <f t="array" ref="Q701">HPFACTOr(C701)</f>
        <v>5</v>
      </c>
      <c r="R701" s="33">
        <f t="shared" si="121"/>
        <v>7646</v>
      </c>
      <c r="S701" s="34">
        <f t="shared" si="122"/>
        <v>75596620.799999997</v>
      </c>
      <c r="T701" s="33">
        <f t="shared" si="123"/>
        <v>7646</v>
      </c>
      <c r="U701" s="42">
        <f t="shared" si="124"/>
        <v>75596620.799999997</v>
      </c>
      <c r="V701" s="44"/>
      <c r="W701" s="29">
        <f t="shared" si="119"/>
        <v>578011762636.79993</v>
      </c>
      <c r="X701" s="41">
        <f t="shared" si="125"/>
        <v>39.072307895872939</v>
      </c>
      <c r="Y701" s="33">
        <f t="shared" si="126"/>
        <v>871.93511697215263</v>
      </c>
      <c r="Z701" s="33">
        <v>0.8</v>
      </c>
      <c r="AA701" s="29">
        <f t="shared" si="127"/>
        <v>697.54809357772217</v>
      </c>
      <c r="AB701" s="48">
        <f t="shared" si="128"/>
        <v>8330.0106915944907</v>
      </c>
      <c r="AD701" s="47">
        <f t="shared" si="129"/>
        <v>0</v>
      </c>
    </row>
    <row r="702" spans="1:30" x14ac:dyDescent="0.2">
      <c r="A702" s="30" t="s">
        <v>8867</v>
      </c>
      <c r="B702" s="29">
        <v>5</v>
      </c>
      <c r="C702" s="29">
        <v>2</v>
      </c>
      <c r="D702" s="29">
        <v>500</v>
      </c>
      <c r="E702" s="29">
        <v>16780</v>
      </c>
      <c r="F702" s="29">
        <v>16860</v>
      </c>
      <c r="G702" s="29">
        <v>48140</v>
      </c>
      <c r="H702" s="29">
        <v>168670</v>
      </c>
      <c r="I702" s="29">
        <v>10180</v>
      </c>
      <c r="J702" s="29">
        <v>169007344</v>
      </c>
      <c r="K702" s="29">
        <v>28462</v>
      </c>
      <c r="L702" s="29">
        <v>52706</v>
      </c>
      <c r="N702" s="34"/>
      <c r="O702" s="29">
        <f t="shared" si="120"/>
        <v>40584</v>
      </c>
      <c r="P702" s="32" cm="1">
        <f t="array" ref="P702">WPNFACTOR(C702)</f>
        <v>4.5</v>
      </c>
      <c r="Q702" s="34" cm="1">
        <f t="array" ref="Q702">HPFACTOr(C702)</f>
        <v>2</v>
      </c>
      <c r="R702" s="33">
        <f t="shared" si="121"/>
        <v>9018.6666666666661</v>
      </c>
      <c r="S702" s="34">
        <f t="shared" si="122"/>
        <v>84503672</v>
      </c>
      <c r="T702" s="33">
        <f t="shared" si="123"/>
        <v>9018.6666666666661</v>
      </c>
      <c r="U702" s="42">
        <f t="shared" si="124"/>
        <v>84503672</v>
      </c>
      <c r="V702" s="44"/>
      <c r="W702" s="29">
        <f t="shared" si="119"/>
        <v>762110449877.33325</v>
      </c>
      <c r="X702" s="41">
        <f t="shared" si="125"/>
        <v>39.471209141142388</v>
      </c>
      <c r="Y702" s="33">
        <f t="shared" si="126"/>
        <v>934.33900463430086</v>
      </c>
      <c r="Z702" s="33">
        <v>0.8</v>
      </c>
      <c r="AA702" s="29">
        <f t="shared" si="127"/>
        <v>747.47120370744074</v>
      </c>
      <c r="AB702" s="48">
        <f t="shared" si="128"/>
        <v>9134.2446368839155</v>
      </c>
      <c r="AD702" s="47">
        <f t="shared" si="129"/>
        <v>0</v>
      </c>
    </row>
    <row r="703" spans="1:30" x14ac:dyDescent="0.2">
      <c r="A703" s="30" t="s">
        <v>8867</v>
      </c>
      <c r="B703" s="29">
        <v>6</v>
      </c>
      <c r="C703" s="29">
        <v>1</v>
      </c>
      <c r="D703" s="29">
        <v>508</v>
      </c>
      <c r="E703" s="29">
        <v>57760</v>
      </c>
      <c r="F703" s="29">
        <v>20230</v>
      </c>
      <c r="G703" s="29">
        <v>20130</v>
      </c>
      <c r="H703" s="29">
        <v>185530</v>
      </c>
      <c r="I703" s="29">
        <v>12210</v>
      </c>
      <c r="J703" s="29">
        <v>472173856</v>
      </c>
      <c r="K703" s="29">
        <v>14735</v>
      </c>
      <c r="L703" s="29">
        <v>29356</v>
      </c>
      <c r="N703" s="34"/>
      <c r="O703" s="29">
        <f t="shared" si="120"/>
        <v>22045.5</v>
      </c>
      <c r="P703" s="32" cm="1">
        <f t="array" ref="P703">WPNFACTOR(C703)</f>
        <v>2</v>
      </c>
      <c r="Q703" s="34" cm="1">
        <f t="array" ref="Q703">HPFACTOr(C703)</f>
        <v>5</v>
      </c>
      <c r="R703" s="33">
        <f t="shared" si="121"/>
        <v>11022.75</v>
      </c>
      <c r="S703" s="34">
        <f t="shared" si="122"/>
        <v>94434771.200000003</v>
      </c>
      <c r="T703" s="33">
        <f t="shared" si="123"/>
        <v>11022.75</v>
      </c>
      <c r="U703" s="42">
        <f t="shared" si="124"/>
        <v>94434771.200000003</v>
      </c>
      <c r="V703" s="44"/>
      <c r="W703" s="29">
        <f t="shared" si="119"/>
        <v>1040930874244.8</v>
      </c>
      <c r="X703" s="41">
        <f t="shared" si="125"/>
        <v>39.921011404504242</v>
      </c>
      <c r="Y703" s="33">
        <f t="shared" si="126"/>
        <v>1010.0793034632823</v>
      </c>
      <c r="Z703" s="33">
        <v>0.8</v>
      </c>
      <c r="AA703" s="29">
        <f t="shared" si="127"/>
        <v>808.0634427706259</v>
      </c>
      <c r="AB703" s="48">
        <f t="shared" si="128"/>
        <v>10134.615970083063</v>
      </c>
      <c r="AD703" s="47">
        <f t="shared" si="129"/>
        <v>0</v>
      </c>
    </row>
    <row r="704" spans="1:30" x14ac:dyDescent="0.2">
      <c r="A704" s="30" t="s">
        <v>8867</v>
      </c>
      <c r="B704" s="29">
        <v>7</v>
      </c>
      <c r="C704" s="29">
        <v>1</v>
      </c>
      <c r="D704" s="29">
        <v>516</v>
      </c>
      <c r="E704" s="29">
        <v>69310</v>
      </c>
      <c r="F704" s="29">
        <v>24270</v>
      </c>
      <c r="G704" s="29">
        <v>24150</v>
      </c>
      <c r="H704" s="29">
        <v>204080</v>
      </c>
      <c r="I704" s="29">
        <v>14650</v>
      </c>
      <c r="J704" s="29">
        <v>527546816</v>
      </c>
      <c r="K704" s="29">
        <v>17974</v>
      </c>
      <c r="L704" s="29">
        <v>35111</v>
      </c>
      <c r="N704" s="34"/>
      <c r="O704" s="29">
        <f t="shared" si="120"/>
        <v>26542.5</v>
      </c>
      <c r="P704" s="32" cm="1">
        <f t="array" ref="P704">WPNFACTOR(C704)</f>
        <v>2</v>
      </c>
      <c r="Q704" s="34" cm="1">
        <f t="array" ref="Q704">HPFACTOr(C704)</f>
        <v>5</v>
      </c>
      <c r="R704" s="33">
        <f t="shared" si="121"/>
        <v>13271.25</v>
      </c>
      <c r="S704" s="34">
        <f t="shared" si="122"/>
        <v>105509363.2</v>
      </c>
      <c r="T704" s="33">
        <f t="shared" si="123"/>
        <v>13271.25</v>
      </c>
      <c r="U704" s="42">
        <f t="shared" si="124"/>
        <v>105509363.2</v>
      </c>
      <c r="V704" s="44"/>
      <c r="W704" s="29">
        <f t="shared" si="119"/>
        <v>1400241136368</v>
      </c>
      <c r="X704" s="41">
        <f t="shared" si="125"/>
        <v>40.348812434594109</v>
      </c>
      <c r="Y704" s="33">
        <f t="shared" si="126"/>
        <v>1087.8041418133264</v>
      </c>
      <c r="Z704" s="33">
        <v>0.8</v>
      </c>
      <c r="AA704" s="29">
        <f t="shared" si="127"/>
        <v>870.24331345066116</v>
      </c>
      <c r="AB704" s="48">
        <f t="shared" si="128"/>
        <v>11187.531661533591</v>
      </c>
      <c r="AD704" s="47">
        <f t="shared" si="129"/>
        <v>0</v>
      </c>
    </row>
    <row r="705" spans="1:30" x14ac:dyDescent="0.2">
      <c r="A705" s="30" t="s">
        <v>8867</v>
      </c>
      <c r="B705" s="29">
        <v>8</v>
      </c>
      <c r="C705" s="29">
        <v>1</v>
      </c>
      <c r="D705" s="29">
        <v>524</v>
      </c>
      <c r="E705" s="29">
        <v>83170</v>
      </c>
      <c r="F705" s="29">
        <v>29120</v>
      </c>
      <c r="G705" s="29">
        <v>28980</v>
      </c>
      <c r="H705" s="29">
        <v>224480</v>
      </c>
      <c r="I705" s="29">
        <v>17580</v>
      </c>
      <c r="J705" s="29">
        <v>589260032</v>
      </c>
      <c r="K705" s="29">
        <v>21311</v>
      </c>
      <c r="L705" s="29">
        <v>41831</v>
      </c>
      <c r="N705" s="34"/>
      <c r="O705" s="29">
        <f t="shared" si="120"/>
        <v>31571</v>
      </c>
      <c r="P705" s="32" cm="1">
        <f t="array" ref="P705">WPNFACTOR(C705)</f>
        <v>2</v>
      </c>
      <c r="Q705" s="34" cm="1">
        <f t="array" ref="Q705">HPFACTOr(C705)</f>
        <v>5</v>
      </c>
      <c r="R705" s="33">
        <f t="shared" si="121"/>
        <v>15785.5</v>
      </c>
      <c r="S705" s="34">
        <f t="shared" si="122"/>
        <v>117852006.40000001</v>
      </c>
      <c r="T705" s="33">
        <f t="shared" si="123"/>
        <v>15785.5</v>
      </c>
      <c r="U705" s="42">
        <f t="shared" si="124"/>
        <v>117852006.40000001</v>
      </c>
      <c r="V705" s="44"/>
      <c r="W705" s="29">
        <f t="shared" si="119"/>
        <v>1860352847027.2002</v>
      </c>
      <c r="X705" s="41">
        <f t="shared" si="125"/>
        <v>40.758713417174292</v>
      </c>
      <c r="Y705" s="33">
        <f t="shared" si="126"/>
        <v>1167.8816393627565</v>
      </c>
      <c r="Z705" s="33">
        <v>0.8</v>
      </c>
      <c r="AA705" s="29">
        <f t="shared" si="127"/>
        <v>934.30531149020521</v>
      </c>
      <c r="AB705" s="48">
        <f t="shared" si="128"/>
        <v>12298.867075741653</v>
      </c>
      <c r="AD705" s="47">
        <f t="shared" si="129"/>
        <v>0</v>
      </c>
    </row>
    <row r="706" spans="1:30" x14ac:dyDescent="0.2">
      <c r="A706" s="30" t="s">
        <v>8867</v>
      </c>
      <c r="B706" s="29">
        <v>9</v>
      </c>
      <c r="C706" s="29">
        <v>3</v>
      </c>
      <c r="D706" s="29">
        <v>532</v>
      </c>
      <c r="E706" s="29">
        <v>34940</v>
      </c>
      <c r="F706" s="29">
        <v>99800</v>
      </c>
      <c r="G706" s="29">
        <v>34770</v>
      </c>
      <c r="H706" s="29">
        <v>246920</v>
      </c>
      <c r="I706" s="29">
        <v>21090</v>
      </c>
      <c r="J706" s="29">
        <v>526433440</v>
      </c>
      <c r="K706" s="29">
        <v>31926</v>
      </c>
      <c r="L706" s="29">
        <v>62970</v>
      </c>
      <c r="N706" s="34"/>
      <c r="O706" s="29">
        <f t="shared" si="120"/>
        <v>47448</v>
      </c>
      <c r="P706" s="32" cm="1">
        <f t="array" ref="P706">WPNFACTOR(C706)</f>
        <v>2.5</v>
      </c>
      <c r="Q706" s="34" cm="1">
        <f t="array" ref="Q706">HPFACTOr(C706)</f>
        <v>4</v>
      </c>
      <c r="R706" s="33">
        <f t="shared" si="121"/>
        <v>18979.2</v>
      </c>
      <c r="S706" s="34">
        <f t="shared" si="122"/>
        <v>131608360</v>
      </c>
      <c r="T706" s="33">
        <f t="shared" si="123"/>
        <v>18979.2</v>
      </c>
      <c r="U706" s="42">
        <f t="shared" si="124"/>
        <v>131608360</v>
      </c>
      <c r="V706" s="44"/>
      <c r="W706" s="29">
        <f t="shared" si="119"/>
        <v>2497821386112</v>
      </c>
      <c r="X706" s="41">
        <f t="shared" si="125"/>
        <v>41.183807455232532</v>
      </c>
      <c r="Y706" s="33">
        <f t="shared" si="126"/>
        <v>1257.159393920638</v>
      </c>
      <c r="Z706" s="33">
        <v>0.8</v>
      </c>
      <c r="AA706" s="29">
        <f t="shared" si="127"/>
        <v>1005.7275151365104</v>
      </c>
      <c r="AB706" s="48">
        <f t="shared" si="128"/>
        <v>13568.144491932737</v>
      </c>
      <c r="AD706" s="47">
        <f t="shared" si="129"/>
        <v>0</v>
      </c>
    </row>
    <row r="707" spans="1:30" x14ac:dyDescent="0.2">
      <c r="A707" s="30" t="s">
        <v>8867</v>
      </c>
      <c r="B707" s="29">
        <v>10</v>
      </c>
      <c r="C707" s="29">
        <v>2</v>
      </c>
      <c r="D707" s="29">
        <v>540</v>
      </c>
      <c r="E707" s="29">
        <v>41920</v>
      </c>
      <c r="F707" s="29">
        <v>41720</v>
      </c>
      <c r="G707" s="29">
        <v>119760</v>
      </c>
      <c r="H707" s="29">
        <v>271610</v>
      </c>
      <c r="I707" s="29">
        <v>25300</v>
      </c>
      <c r="J707" s="29">
        <v>293882016</v>
      </c>
      <c r="K707" s="29">
        <v>70776</v>
      </c>
      <c r="L707" s="29">
        <v>136537</v>
      </c>
      <c r="N707" s="34"/>
      <c r="O707" s="29">
        <f t="shared" si="120"/>
        <v>103656.5</v>
      </c>
      <c r="P707" s="32" cm="1">
        <f t="array" ref="P707">WPNFACTOR(C707)</f>
        <v>4.5</v>
      </c>
      <c r="Q707" s="34" cm="1">
        <f t="array" ref="Q707">HPFACTOr(C707)</f>
        <v>2</v>
      </c>
      <c r="R707" s="33">
        <f t="shared" si="121"/>
        <v>23034.777777777777</v>
      </c>
      <c r="S707" s="34">
        <f t="shared" si="122"/>
        <v>146941008</v>
      </c>
      <c r="T707" s="33">
        <f t="shared" si="123"/>
        <v>23034.777777777777</v>
      </c>
      <c r="U707" s="42">
        <f t="shared" si="124"/>
        <v>146941008</v>
      </c>
      <c r="V707" s="44"/>
      <c r="W707" s="29">
        <f t="shared" si="119"/>
        <v>3384753465722.6665</v>
      </c>
      <c r="X707" s="41">
        <f t="shared" si="125"/>
        <v>41.622187895127482</v>
      </c>
      <c r="Y707" s="33">
        <f t="shared" si="126"/>
        <v>1356.3811960987348</v>
      </c>
      <c r="Z707" s="33">
        <v>0.8</v>
      </c>
      <c r="AA707" s="29">
        <f t="shared" si="127"/>
        <v>1085.1049568789879</v>
      </c>
      <c r="AB707" s="48">
        <f t="shared" si="128"/>
        <v>15014.435681797808</v>
      </c>
      <c r="AD707" s="47">
        <f t="shared" si="129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DungeonsDataBase</vt:lpstr>
      <vt:lpstr>PowerCalc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2023-01-24T18:39:29Z</dcterms:modified>
</cp:coreProperties>
</file>